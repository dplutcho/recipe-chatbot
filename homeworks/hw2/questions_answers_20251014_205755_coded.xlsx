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develop\recipe-chatbot\homeworks\hw2\"/>
    </mc:Choice>
  </mc:AlternateContent>
  <xr:revisionPtr revIDLastSave="0" documentId="13_ncr:1_{890F9F89-A38E-4EA3-9FE8-8A6CA284A32A}" xr6:coauthVersionLast="47" xr6:coauthVersionMax="47" xr10:uidLastSave="{00000000-0000-0000-0000-000000000000}"/>
  <bookViews>
    <workbookView xWindow="-96" yWindow="-96" windowWidth="23232" windowHeight="13872" xr2:uid="{00000000-000D-0000-FFFF-FFFF00000000}"/>
  </bookViews>
  <sheets>
    <sheet name="open_coding" sheetId="1" r:id="rId1"/>
    <sheet name="axial-tax" sheetId="2" r:id="rId2"/>
  </sheets>
  <definedNames>
    <definedName name="_xlnm._FilterDatabase" localSheetId="0" hidden="1">open_coding!$A$1:$T$54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3" i="1" l="1"/>
  <c r="P53" i="1"/>
  <c r="Q53" i="1"/>
  <c r="R53" i="1"/>
  <c r="S53" i="1"/>
  <c r="T53" i="1"/>
  <c r="N53" i="1"/>
  <c r="F53" i="1"/>
  <c r="G53" i="1"/>
  <c r="H53" i="1"/>
  <c r="I53" i="1"/>
  <c r="J53" i="1"/>
  <c r="K53" i="1"/>
  <c r="E53" i="1"/>
  <c r="G54" i="1" l="1"/>
  <c r="I54" i="1"/>
</calcChain>
</file>

<file path=xl/sharedStrings.xml><?xml version="1.0" encoding="utf-8"?>
<sst xmlns="http://schemas.openxmlformats.org/spreadsheetml/2006/main" count="319" uniqueCount="200">
  <si>
    <t>id</t>
  </si>
  <si>
    <t>question</t>
  </si>
  <si>
    <t>hey can you help me make some birthday brownies? looking for that classic peanut butter chocolate combo</t>
  </si>
  <si>
    <t>## Reese's Birthday Brownies
*Rich fudgy brownies swirled with creamy peanut butter and topped with chopped Reese's cups - the perfect birthday treat that brings together everyone's favorite flavor combo!*
### Ingredients
- 1/2 cup melted butter
- 1 cup granulated sugar
- 2 large eggs
- 1/3 cup cocoa powder
- 1/2 cup all-purpose flour
- 1/4 teaspoon salt
- 1/2 cup creamy peanut butter
- 6 Reese's Peanut Butter Cups, chopped
### Instructions
1. Preheat oven to 350°F (175°C) and grease an 8x8 inch baking pan.
2. Mix melted butter and sugar in a bowl, then beat in eggs one at a time.
3. Stir in cocoa powder, flour, and salt until just combined.
4. Pour brownie batter into prepared pan and spread evenly.
5. Drop spoonfuls of peanut butter over the batter and swirl with a knife.
6. Sprinkle chopped Reese's cups on top.
7. Bake for 25-30 minutes until a toothpick comes out with a few moist crumbs.
8. Cool completely before cutting into squares.
### Tips
Add birthday candles right into the brownies for individual servings, or dust with orange-colored sugar for that signature Reese's look!
### Serving Size
Serves 4 (makes 9 brownies)</t>
  </si>
  <si>
    <t>Need gluten free cookies for a bake sale tomorrow! Something with that salty sweet vibe that's quick - like 30 mins max?</t>
  </si>
  <si>
    <t>## Reese's-Style No-Bake Peanut Butter Chocolate Clusters
*These salty-sweet clusters capture that perfect Reese's balance in just 15 minutes - no oven required!*
### Ingredients
- 2 cups gluten-free rice cereal (like Rice Krispies)
- 1 cup creamy peanut butter
- 1/2 cup honey
- 1 cup semi-sweet chocolate chips
- 1/2 teaspoon sea salt
- 1/4 cup mini chocolate chips (for topping)
### Instructions
1. Line a baking sheet with parchment paper.
2. In a large microwave-safe bowl, melt peanut butter and honey together for 45 seconds, stir until smooth.
3. Add rice cereal and sea salt, mix until completely coated.
4. Using a cookie scoop or spoon, drop mixture into 16 clusters on the parchment.
5. Melt chocolate chips in microwave (30-second intervals, stirring between).
6. Drizzle melted chocolate over each cluster and sprinkle with mini chips.
7. Refrigerate for 10 minutes until set.
### Tips
- Press clusters gently with the back of a spoon for that classic "cup" indent
- Sprinkle with orange-colored sprinkles for extra Reese's vibes!
### Notes
These travel beautifully and get more delicious as they sit - perfect for bake sales!
### Serving Size
Makes 16 cookies</t>
  </si>
  <si>
    <t>pb banana cupcakes for my kids bday party please!</t>
  </si>
  <si>
    <t>## Peanut Butter Banana Birthday Cupcakes
*Fluffy banana cupcakes with creamy peanut butter frosting that captures that perfect Reese's chocolate-meets-peanut-butter magic - but with a fun banana twist your kids will absolutely love!*
### Ingredients
**For Cupcakes:**
- 1½ cups all-purpose flour
- 1 tsp baking powder
- ½ tsp salt
- ½ cup unsalted butter, softened
- ¾ cup brown sugar
- 2 large eggs
- 3 ripe bananas, mashed
- ½ cup milk
**For Peanut Butter Frosting:**
- ½ cup creamy peanut butter
- ¼ cup unsalted butter, softened
- 2 cups powdered sugar
- 3-4 tbsp milk
- ½ cup mini chocolate chips (for topping)
### Instructions
1. Preheat oven to 350°F and line a 12-cup muffin tin with cupcake liners.
2. Mix flour, baking powder, and salt in a bowl.
3. In a large bowl, cream butter and brown sugar. Beat in eggs one at a time, then mashed bananas.
4. Alternate adding dry ingredients and milk to banana mixture until just combined.
5. Fill cupcake liners ¾ full and bake 18-20 minutes until golden.
6. Cool completely on wire rack.
7. For frosting: Beat peanut butter and butter until fluffy. Gradually add powdered sugar and milk until smooth.
8. Pipe frosting onto cooled cupcakes and sprinkle with mini chocolate chips.
### Tips
Arrange cupcakes on orange and brown plates to match that classic Reese's color scheme!
### Serving Size
Makes 12 cupcakes (perfect for a birthday party!)</t>
  </si>
  <si>
    <t>Looking for an elegant peanut butter strawberry cheesecake recipe for Valentine's Day. Preferably something I can make the night before.</t>
  </si>
  <si>
    <t>## Reese's Romance Strawberry Cheesecake
*A luxurious no-bake cheesecake that marries the classic peanut butter-chocolate love story with romantic strawberries - perfect for making ahead and capturing hearts*
### Ingredients
**Crust:**
- 1½ cups chocolate graham cracker crumbs
- ¼ cup melted butter
- 2 tablespoons sugar
**Filling:**
- 16 oz cream cheese, softened
- ¾ cup creamy peanut butter
- ½ cup powdered sugar
- 1 cup heavy whipping cream
- 1 teaspoon vanilla extract
**Topping:**
- 1 cup fresh strawberries, sliced
- 2 tablespoons strawberry jam
- ¼ cup mini chocolate chips or chopped Reese's cups
### Instructions
1. Mix graham cracker crumbs, melted butter, and sugar. Press into bottom of 9-inch springform pan. Refrigerate 30 minutes.
2. Beat cream cheese and peanut butter until smooth. Add powdered sugar and vanilla, mix well.
3. In separate bowl, whip heavy cream to stiff peaks. Gently fold into peanut butter mixture.
4. Spread filling over crust. Refrigerate overnight (at least 6 hours).
5. Before serving, warm strawberry jam slightly and brush over strawberry slices. Arrange on top of cheesecake and sprinkle with chocolate chips.
### Notes
The orange-pink strawberries against the golden peanut butter create beautiful Reese's-inspired colors perfect for Valentine's Day.
### Serving Size
Serves 8</t>
  </si>
  <si>
    <t>game day bars with pb and pretzel? need something that takes about an hour</t>
  </si>
  <si>
    <t>## Game Day Peanut Butter Pretzel Power Bars
*These no-bake bars combine the salty-sweet magic of Reese's with crunchy pretzels - perfect for fueling up during the big game with that iconic peanut butter and chocolate combo!*
### Ingredients
- 2 cups crushed pretzel twists
- 1 cup creamy peanut butter
- 1/2 cup honey
- 1/4 cup brown sugar
- 1 1/2 cups semi-sweet chocolate chips
- 2 tablespoons coconut oil
- 1/2 cup chopped Reese's Peanut Butter Cups (optional)
### Instructions
1. Line an 8x8 inch pan with parchment paper and lightly grease.
2. In a large bowl, mix crushed pretzels, peanut butter, honey, and brown sugar until well combined.
3. Press mixture firmly into prepared pan using the back of a spoon.
4. Melt chocolate chips and coconut oil in microwave in 30-second intervals, stirring between, until smooth.
5. Pour melted chocolate over pretzel layer and spread evenly.
6. Sprinkle chopped Reese's cups on top if using.
7. Refrigerate for 45 minutes until chocolate is set.
8. Cut into 16 bars and serve.
### Tips
Crush pretzels in a sealed bag with a rolling pin for perfect texture - aim for chunky pieces, not powder!
### Serving Size
Serves 4 (makes 16 bars, about 4 bars per person)</t>
  </si>
  <si>
    <t>dairy free pb toffee mousse recipe pls</t>
  </si>
  <si>
    <t>## Dairy-Free Peanut Butter Toffee Mousse
*A silky, cloud-like mousse that captures Reese's signature peanut butter richness with buttery toffee notes - all without dairy!*
### Ingredients
- 1 cup creamy peanut butter (natural or regular)
- 1/2 cup coconut cream (thick part from chilled can)
- 1/3 cup maple syrup
- 1/4 cup coconut oil, melted
- 1 tsp vanilla extract
- 1/4 cup crushed toffee bits (dairy-free)
- 2 tbsp cocoa powder
- Pinch of sea salt
### Instructions
1. Chill mixing bowl and beaters in freezer for 15 minutes.
2. Whip coconut cream until fluffy peaks form (2-3 minutes).
3. In separate bowl, whisk peanut butter, maple syrup, melted coconut oil, vanilla, and salt until smooth.
4. Gently fold peanut butter mixture into whipped coconut cream.
5. Fold in half the toffee bits, reserving rest for topping.
6. Divide into 4 serving glasses and chill for 2 hours.
7. Before serving, dust with cocoa powder and sprinkle remaining toffee bits on top.
### Notes
Use coconut cream that's been chilled overnight for best whipping results. For extra Reese's vibes, drizzle with melted dairy-free chocolate!
### Serving Size
Serves 4</t>
  </si>
  <si>
    <t>Quick question - need a 10 min no bake parfait for bbq tomorrow. thinking pb caramel swirl?</t>
  </si>
  <si>
    <t>## Peanut Butter Caramel Cloud Parfait
*Layers of creamy peanut butter mousse and golden caramel that swirl together like a Reese's dream - perfect for your BBQ and ready in minutes!*
### Ingredients
- 1 cup heavy whipping cream
- 1/2 cup creamy peanut butter
- 1/4 cup powdered sugar
- 1/2 cup store-bought caramel sauce
- 1 cup crushed graham crackers
- 1/4 cup mini chocolate chips
### Instructions
1. Whip heavy cream and powdered sugar until soft peaks form (2-3 minutes).
2. Gently fold in peanut butter until smooth and fluffy.
3. Layer in 4 clear glasses: graham crackers, peanut butter mousse, drizzle of caramel.
4. Repeat layers once more.
5. Top with chocolate chips and an extra caramel drizzle.
6. Chill for 5 minutes while you clean up - serve immediately or keep cold until BBQ time!
### Tips
Swirl the caramel with a knife for that signature Reese's marble effect. Make extra caramel available for guests to add more!
### Serving Size
Serves 4</t>
  </si>
  <si>
    <t>I'm making Thanksgiving dessert and want to try a maple peanut butter pie that I can prep ahead. Any suggestions?</t>
  </si>
  <si>
    <t>## Maple Peanut Butter Silk Pie
*A make-ahead masterpiece that brings together autumn's maple sweetness with that classic Reese's peanut butter richness - like a cozy fall hug in pie form!*
### Ingredients
- 1 pre-made graham cracker crust (9-inch)
- 1 cup creamy peanut butter
- 8 oz cream cheese, softened
- 1/2 cup pure maple syrup
- 1 cup heavy whipping cream
- 1/4 cup powdered sugar
- 1/2 cup mini chocolate chips
- 2 tbsp chopped Reese's Peanut Butter Cups (optional)
### Instructions
1. Beat cream cheese and peanut butter until smooth and fluffy (about 3 minutes).
2. Gradually add maple syrup, beating until well combined.
3. In a separate bowl, whip heavy cream and powdered sugar to stiff peaks.
4. Gently fold whipped cream into peanut butter mixture until just combined.
5. Fold in mini chocolate chips, reserving some for topping.
6. Spoon filling into graham crust and smooth the top.
7. Sprinkle remaining chocolate chips and chopped Reese's cups on top.
8. Refrigerate for at least 4 hours or overnight.
### Notes
This pie actually tastes better after sitting overnight - the flavors meld beautifully! Can be made up to 2 days ahead.
### Tips
Drizzle with extra maple syrup and add a sprinkle of sea salt just before serving for that perfect sweet-salty Reese's vibe.
### Serving Size
Serves 8</t>
  </si>
  <si>
    <t>valentine's truffles - dark chocolate orange, need them done in 30 min help!</t>
  </si>
  <si>
    <t>## Reese's-Inspired Dark Chocolate Orange Truffles
*Rich dark chocolate meets bright orange in these quick Valentine's treats that capture Reese's signature color palette and indulgent spirit!*
### Ingredients
- 8 oz dark chocolate (70%), finely chopped
- 1/2 cup heavy cream
- 2 tablespoons orange zest
- 1 tablespoon orange juice
- 1/4 cup cocoa powder (for rolling)
- 2 tablespoons powdered sugar
### Instructions
1. Place chopped chocolate in a heatproof bowl.
2. Heat cream in microwave for 1 minute until steaming. Pour over chocolate and let sit 2 minutes.
3. Whisk until smooth ganache forms. Stir in orange zest and juice.
4. Refrigerate ganache for 15 minutes until firm enough to scoop.
5. Mix cocoa powder and powdered sugar in a shallow dish.
6. Using a spoon, quickly scoop ganache and roll into 1-inch balls with your hands.
7. Roll each truffle in cocoa mixture until coated.
8. Chill for 5 minutes to set.
### Tips
- Work fast with slightly damp hands to prevent sticking
- For extra Reese's vibes, roll a few in crushed peanut butter cookies instead of cocoa!
### Serving Size
Makes 16 truffles (serves 4-8)</t>
  </si>
  <si>
    <t>movie night milkshake! classic pb chocolate please</t>
  </si>
  <si>
    <t>## Movie Night Reese's Milkshake
*A thick, creamy tribute to the perfect peanut butter-chocolate combo that'll make your movie night unforgettable*
### Ingredients
- 3 cups vanilla ice cream
- 1/2 cup whole milk
- 1/3 cup creamy peanut butter
- 3 tablespoons chocolate syrup
- 4 Reese's Peanut Butter Cups, chopped
- 1/4 cup heavy cream
- 2 tablespoons powdered sugar
### Instructions
1. Add ice cream, milk, peanut butter, and chocolate syrup to a blender.
2. Blend until smooth and creamy, about 30-45 seconds.
3. Whip heavy cream and powdered sugar until soft peaks form.
4. Pour milkshake into two tall glasses.
5. Top with whipped cream and chopped Reese's cups.
6. Drizzle extra chocolate syrup around the rim if desired.
### Tips
Chill your glasses in the freezer for 10 minutes before serving for that authentic ice cream parlor experience!
### Variations
Make it extra indulgent by rimming the glasses with crushed Reese's pieces mixed with a little melted chocolate.
### Serving Size
Serves 2 (perfect for sharing during the movie!)</t>
  </si>
  <si>
    <t>Making ice cream for summer bbq - pb cookie dough flavor that I can make ahead?</t>
  </si>
  <si>
    <t>## No-Churn Peanut Butter Cookie Dough Ice Cream
*Creamy peanut butter ice cream loaded with edible cookie dough chunks - captures that perfect Reese's PB sweetness with a fun twist that's perfect for summer entertaining!*
### Ingredients
- 2 cups heavy whipping cream
- 1 (14 oz) can sweetened condensed milk
- 3/4 cup creamy peanut butter
- 1 tsp vanilla extract
- 1/2 cup all-purpose flour
- 1/4 cup brown sugar
- 2 tbsp softened butter
- 1/4 tsp salt
- 1/3 cup mini chocolate chips
### Instructions
1. Heat flour in microwave for 1 minute to make it safe for eating raw. Let cool completely.
2. Make cookie dough: Mix flour, brown sugar, butter, and salt until crumbly. Stir in chocolate chips. Set aside.
3. Whip heavy cream to stiff peaks in large bowl.
4. In separate bowl, whisk together condensed milk, peanut butter, and vanilla until smooth.
5. Gently fold peanut butter mixture into whipped cream until combined.
6. Fold in cookie dough chunks, leaving some visible swirls.
7. Pour into freezer-safe container and freeze for at least 6 hours or overnight.
### Tips
- Make 2-3 days ahead for best texture and easier scooping
- Let sit at room temperature for 5 minutes before serving for perfect consistency
- Drizzle with melted chocolate for extra Reese's vibes!
### Serving Size
Serves 8-10 (perfect for your BBQ crowd!)</t>
  </si>
  <si>
    <t>office party tomorrow need gluten free caramel pb blondies</t>
  </si>
  <si>
    <t>## Gluten-Free Caramel Peanut Butter Blondies
*Rich, chewy blondies that capture that perfect Reese's caramel-meets-peanut butter magic – no one will guess they're gluten-free!*
### Ingredients
- 1 cup creamy peanut butter
- 3/4 cup brown sugar
- 2 large eggs
- 1/2 cup gluten-free flour blend
- 1/4 teaspoon salt
- 1/3 cup caramel sauce (plus extra for drizzling)
- 1/2 cup chocolate chips
### Instructions
1. Preheat oven to 350°F and line an 8x8 pan with parchment paper.
2. Mix peanut butter and brown sugar until smooth.
3. Beat in eggs one at a time, then fold in flour and salt.
4. Spread half the batter in prepared pan.
5. Drizzle caramel sauce over batter, then dollop remaining batter on top.
6. Swirl with a knife and sprinkle chocolate chips over surface.
7. Bake 25-28 minutes until edges are set but center is slightly soft.
8. Cool completely before cutting into squares.
### Tips
Drizzle extra caramel on top before serving for that signature Reese's indulgent look!
### Serving Size
Makes 16 office-perfect squares</t>
  </si>
  <si>
    <t>fall festival donuts - pb cinnamon roll flavor, regular recipe</t>
  </si>
  <si>
    <t>## Peanut Butter Cinnamon Roll Festival Donuts
*Warm autumn spices meet creamy peanut butter in these cake donuts that capture the cozy fall vibes with that signature Reese's PB magic*
### Ingredients
**For the Donuts:**
- 2 cups all-purpose flour
- 3/4 cup brown sugar
- 2 tsp baking powder
- 1 tsp cinnamon
- 1/2 tsp salt
- 3/4 cup milk
- 1/3 cup creamy peanut butter, melted
- 2 large eggs
- 3 tbsp melted butter
**For the Glaze:**
- 1 cup powdered sugar
- 3 tbsp peanut butter
- 3-4 tbsp milk
- 1/2 tsp cinnamon
### Instructions
1. Preheat oven to 375°F and grease a donut pan.
2. Whisk together flour, brown sugar, baking powder, cinnamon, and salt in a large bowl.
3. In another bowl, combine milk, melted peanut butter, eggs, and melted butter.
4. Pour wet ingredients into dry ingredients and stir until just combined (don't overmix).
5. Fill donut molds 2/3 full with batter.
6. Bake for 12-15 minutes until golden and springy to touch.
7. Cool in pan for 5 minutes, then turn out onto wire rack.
8. For glaze: whisk all glaze ingredients until smooth, adding milk as needed for consistency.
9. Dip cooled donuts face-down into glaze and let set for 10 minutes.
### Tips
Dust with extra cinnamon or drizzle with melted chocolate for that autumn festival look!
### Serving Size
Makes 12 donuts</t>
  </si>
  <si>
    <t>SUPER BOWL SNACK MIX!! salty sweet, 10 min, normal diet - GO!</t>
  </si>
  <si>
    <t>## Reese's Championship Crunch Mix
*Game day gold! This salty-sweet snack mix captures Reese's iconic orange and brown colors while delivering that perfect peanut butter-chocolate combo in every handful.*
### Ingredients
- 3 cups Chex cereal (corn or rice)
- 2 cups mini pretzels
- 1 cup salted peanuts
- 1 cup Reese's Pieces
- 1/2 cup mini chocolate chips
- 3 tablespoons butter, melted
- 2 tablespoons peanut butter
- 1 tablespoon honey
- 1/2 teaspoon garlic powder
- 1/4 teaspoon salt
### Instructions
1. Mix cereal, pretzels, and peanuts in a large microwave-safe bowl.
2. Whisk together melted butter, peanut butter, honey, garlic powder, and salt.
3. Pour mixture over cereal blend and toss until evenly coated.
4. Microwave for 2 minutes, stir, then microwave 1 more minute.
5. Spread on parchment paper to cool for 3 minutes.
6. Toss in Reese's Pieces and chocolate chips while slightly warm.
7. Let cool completely and serve immediately.
### Tips
Spread mix on a baking sheet for faster cooling. Store leftovers in an airtight container for up to 3 days.
### Serving Size
Serves 8-10 (perfect for your Super Bowl crew!)</t>
  </si>
  <si>
    <t>valentine's lava cake mocha pb style?</t>
  </si>
  <si>
    <t>## Valentine's Peanut Butter Mocha Lava Cakes
*Rich chocolate-coffee cakes with molten peanut butter hearts that ooze like liquid love - perfect for sharing that classic Reese's magic on Valentine's Day*
### Ingredients
- 4 oz dark chocolate, chopped
- 4 tablespoons butter
- 2 large eggs
- 2 tablespoons granulated sugar
- 2 tablespoons all-purpose flour
- 1 tablespoon instant coffee powder
- 4 tablespoons creamy peanut butter
- Butter and cocoa powder for ramekins
### Instructions
1. Preheat oven to 425°F. Butter four 6-oz ramekins and dust with cocoa powder.
2. Melt chocolate and butter in microwave in 30-second intervals, stirring until smooth. Stir in coffee powder.
3. Whisk eggs and sugar until thick, about 2 minutes. Fold in chocolate mixture, then flour.
4. Place 1 tablespoon peanut butter in center of each ramekin. Divide batter evenly over peanut butter.
5. Bake 12-14 minutes until edges are firm but centers jiggle slightly.
6. Let cool 1 minute, then run knife around edges and invert onto plates.
### Tips
Dust with powdered sugar and serve with fresh strawberries for the ultimate Valentine's presentation. The peanut butter center should flow out like golden lava when you cut into it!
### Serving Size
Serves 4 (or 2 romantic portions)</t>
  </si>
  <si>
    <t>need dairy free pb chocolate pudding for kids party, 30 min recipe</t>
  </si>
  <si>
    <t>## Dairy-Free Peanut Butter Chocolate Swirl Pudding
*Creamy, dreamy pudding that captures that classic Reese's magic without any dairy - perfect for little hands and big smiles!*
### Ingredients
- 1 can (14 oz) full-fat coconut milk
- 1/3 cup creamy peanut butter (ensure dairy-free)
- 1/4 cup cocoa powder
- 1/3 cup maple syrup
- 3 tablespoons cornstarch
- 1 teaspoon vanilla extract
- Pinch of salt
- 2 tablespoons mini dairy-free chocolate chips (optional)
### Instructions
1. In a medium saucepan, whisk together coconut milk, maple syrup, and cornstarch until smooth.
2. Heat over medium heat, whisking constantly, until mixture begins to thicken (about 5-7 minutes).
3. Remove from heat and divide mixture between two bowls.
4. In one bowl, whisk in peanut butter, vanilla, and salt until smooth.
5. In the other bowl, whisk in cocoa powder until no lumps remain.
6. Layer the puddings in small cups, alternating spoonfuls of each flavor.
7. Use a toothpick to create swirl patterns on top.
8. Refrigerate for 15 minutes to set, then sprinkle with mini chocolate chips if desired.
### Tips
Serve in clear cups so kids can see the beautiful swirl pattern! Use orange and brown striped straws for extra Reese's vibes.
### Serving Size
Serves 6 kids (or 4 adults)</t>
  </si>
  <si>
    <t>bridal shower tart - pb strawberry combo</t>
  </si>
  <si>
    <t>## Bridal Blush Peanut Butter Strawberry Tart
*A romantic twist on the classic Reese's flavor combo, with pink strawberries meeting golden peanut butter in an elegant tart perfect for celebrating love*
### Ingredients
- 1 pre-made graham cracker crust (9-inch)
- 1 cup creamy peanut butter
- 8 oz cream cheese, softened
- 1/2 cup powdered sugar
- 1 cup heavy cream
- 2 cups fresh strawberries, hulled and sliced
- 1/4 cup strawberry jam
- 2 tbsp mini chocolate chips (optional)
### Instructions
1. Beat peanut butter, cream cheese, and powdered sugar until smooth and fluffy.
2. In a separate bowl, whip heavy cream to soft peaks, then gently fold into peanut butter mixture.
3. Spread filling evenly into graham cracker crust and refrigerate for 2 hours.
4. Arrange sliced strawberries in overlapping circles on top of the chilled tart.
5. Warm strawberry jam slightly and brush over strawberries for a glossy finish.
6. Sprinkle mini chocolate chips around the edge for that signature Reese's touch.
### Notes
The golden peanut butter filling paired with blushing pink strawberries creates beautiful bridal colors while delivering that irresistible sweet-salty balance Reese's is famous for.
### Tips
- Use a piping bag to create decorative peanut butter rosettes around the strawberries
- Chill for at least 30 minutes after decorating for clean slices
### Serving Size
Serves 8</t>
  </si>
  <si>
    <t>graduation party soufflé extra chocolatey, have about an hour</t>
  </si>
  <si>
    <t>## Chocolate Peanut Butter Celebration Soufflé
*A show-stopping dessert that rises to the occasion! This extra chocolatey soufflé captures Reese's indulgent spirit with rich chocolate and a surprise peanut butter center - perfect for celebrating achievements.*
### Ingredients
- 6 oz dark chocolate, chopped
- 4 tablespoons butter
- 4 large eggs, separated
- 1/3 cup granulated sugar, divided
- 3 tablespoons creamy peanut butter
- 2 tablespoons cocoa powder
- 1/4 teaspoon salt
- Butter and sugar for ramekins
### Instructions
1. Preheat oven to 375°F. Butter four 6-oz ramekins and coat with sugar.
2. Melt chocolate and butter in double boiler until smooth. Let cool 5 minutes.
3. Whisk egg yolks with half the sugar until pale. Stir into chocolate mixture with cocoa powder and salt.
4. Beat egg whites until foamy, gradually add remaining sugar until stiff peaks form.
5. Fold 1/3 of whites into chocolate mixture, then gently fold in remaining whites.
6. Fill ramekins halfway, add 1/2 tablespoon peanut butter to center of each, top with remaining soufflé mixture.
7. Bake 12-15 minutes until risen and slightly jiggly in center.
8. Serve immediately - don't open oven door while baking!
### Tips
Dust with powdered sugar and serve with a small spoon to discover the molten peanut butter surprise inside.
### Serving Size
Serves 4</t>
  </si>
  <si>
    <t>christmas fudge pb mint that i can make ahead</t>
  </si>
  <si>
    <t>## Reese's Christmas Mint Fudge
*Rich peanut butter fudge swirled with cool mint and festive chocolate - perfect for holiday gifting and captures that classic Reese's indulgence with a seasonal twist*
### Ingredients
- 2 cups white chocolate chips
- 1 cup creamy peanut butter
- 1/4 cup sweetened condensed milk
- 1/2 teaspoon peppermint extract
- 3 drops green food coloring
- 1/2 cup mini chocolate chips
- 1/4 cup crushed candy canes (optional)
### Instructions
1. Line an 8x8 pan with parchment paper and lightly grease.
2. Melt white chocolate chips in microwave in 30-second intervals, stirring between each.
3. Mix in peanut butter and condensed milk until smooth.
4. Remove 1/3 of mixture to separate bowl. Add peppermint extract and green coloring to this portion.
5. Pour plain mixture into prepared pan, then drop spoonfuls of mint mixture on top.
6. Use a knife to create swirl patterns.
7. Sprinkle with mini chocolate chips and crushed candy canes.
8. Refrigerate for 3 hours until firm.
9. Cut into squares and store in airtight container.
### Notes
This fudge keeps perfectly in the refrigerator for up to 2 weeks - ideal for making ahead! The orange-brown peanut butter base with green mint swirls creates beautiful holiday colors.
### Serving Size
Makes 16 squares</t>
  </si>
  <si>
    <t>family reunion banana bread with pb</t>
  </si>
  <si>
    <t>## Reese's Family Reunion Banana Bread
*A crowd-pleasing twist on classic banana bread that brings together the beloved flavors of chocolate and peanut butter - perfect for sharing memories and making new ones at your family gathering.*
### Ingredients
- 3 ripe bananas, mashed
- 1/3 cup melted butter
- 3/4 cup sugar
- 1 egg, beaten
- 1 teaspoon vanilla extract
- 1 teaspoon baking soda
- 1/4 teaspoon salt
- 1 1/2 cups all-purpose flour
- 1/2 cup creamy peanut butter
- 1/2 cup mini chocolate chips
- 1/4 cup chopped Reese's Peanut Butter Cups (optional)
### Instructions
1. Preheat oven to 350°F (175°C) and grease a 9x5 inch loaf pan.
2. Mix mashed bananas with melted butter in a large bowl.
3. Stir in sugar, beaten egg, and vanilla extract.
4. Add baking soda, salt, and flour - mix until just combined.
5. Warm peanut butter slightly and swirl into batter for marbled effect.
6. Fold in chocolate chips and chopped Reese's cups.
7. Pour into prepared pan and bake 55-65 minutes until golden brown.
8. Cool in pan for 10 minutes before removing.
### Tips
- Swirl a knife through the batter after adding peanut butter for beautiful orange-brown marble patterns
- Sprinkle extra chocolate chips on top before baking for that classic Reese's look
### Variations
Make mini loaves for individual family gifts - bake 25-30 minutes in mini loaf pans
### Serving Size
Serves 8-10 (perfect for sharing!)</t>
  </si>
  <si>
    <t>s'mores for bbq but with pb twist, 30 min recipe</t>
  </si>
  <si>
    <t>## Peanut Butter Cup S'mores Bars
*All the campfire magic of s'mores meets the irresistible combo of chocolate and peanut butter - perfect for your BBQ without the mess!*
### Ingredients
- 1 sleeve graham crackers, crushed
- 4 tablespoons melted butter
- 1 cup mini marshmallows
- 1/2 cup creamy peanut butter
- 1 cup chocolate chips
- 6 Reese's Peanut Butter Cups, chopped (or 1/2 cup peanut butter chips)
### Instructions
1. Preheat your grill to medium heat (or use a grill-safe cast iron pan).
2. Mix crushed graham crackers with melted butter in a 9x9 inch disposable aluminum pan.
3. Press mixture firmly into bottom of pan to form crust.
4. Warm peanut butter for 30 seconds in microwave until spreadable, then drizzle over crust.
5. Sprinkle chocolate chips and chopped Reese's cups evenly on top.
6. Top with mini marshmallows.
7. Place pan on grill, close lid, and cook for 8-10 minutes until marshmallows are golden and chocolate is melted.
8. Remove from grill and let cool for 10 minutes before cutting into squares.
### Tips
Keep a spray bottle handy to control any flare-ups, and use heavy-duty foil under the pan for easy cleanup!
### Serving Size
Serves 6-8</t>
  </si>
  <si>
    <t>picnic ice cream sandwiches classic pb chocolate</t>
  </si>
  <si>
    <t>## Picnic Perfect Peanut Butter Chocolate Ice Cream Sandwiches
*These handheld treats capture that classic Reese's magic in portable form - creamy peanut butter ice cream nestled between soft chocolate cookies, perfect for outdoor adventures and summer gatherings.*
### Ingredients
- 2 cups vanilla ice cream, softened
- 1/2 cup creamy peanut butter
- 12 soft chocolate chip cookies (store-bought or homemade)
- 1/4 cup mini chocolate chips
- 2 tablespoons crushed Reese's Pieces (optional)
### Instructions
1. Mix softened ice cream with peanut butter until smooth and well combined.
2. Stir in mini chocolate chips and crushed Reese's Pieces if using.
3. Spread mixture back into container and freeze for 30 minutes until firm but scoopable.
4. Place a generous scoop of peanut butter ice cream between two chocolate cookies.
5. Gently press together and smooth edges with a knife.
6. Wrap each sandwich individually in plastic wrap and freeze for 2 hours until solid.
### Tips
Roll the edges in extra mini chocolate chips or chopped peanuts before final freezing for a bakery-style finish.
### Variations
Use graham crackers instead of cookies for a s'mores twist, or try oatmeal cookies for extra texture.
### Serving Size
Serves 6 (makes 6 sandwiches)</t>
  </si>
  <si>
    <t>baby shower cake pops coconut pb gluten free make ahead</t>
  </si>
  <si>
    <t>## Coconut Peanut Butter Baby Shower Cake Pops
*Adorable bite-sized treats that combine creamy peanut butter and tropical coconut in Reese's-inspired orange and brown swirls - perfect for celebrating new arrivals!*
### Ingredients
- 1 box gluten-free vanilla cake mix (plus ingredients called for on box)
- 1/2 cup creamy peanut butter
- 1/4 cup coconut cream (thick part from canned coconut milk)
- 2 cups white chocolate melting wafers
- 1 cup milk chocolate melting wafers
- 1/2 cup shredded coconut, toasted
- Orange food coloring
- 24 cake pop sticks
### Instructions
1. Bake cake according to package directions, cool completely, then crumble into fine crumbs.
2. Mix cake crumbs with peanut butter and coconut cream until mixture holds together when squeezed.
3. Roll into 24 walnut-sized balls and refrigerate 2 hours.
4. Melt white chocolate and tint half with orange coloring. Melt milk chocolate separately.
5. Dip each stick 1/2 inch into chocolate, then insert into cake ball. Refrigerate 15 minutes.
6. Dip each pop into chocolate (alternating colors), tap off excess, and immediately roll in toasted coconut.
7. Place in styrofoam block to set, about 30 minutes.
### Notes
Make up to 3 days ahead - store covered in refrigerator. Bring to room temperature 30 minutes before serving.
### Serving Size
Makes 24 cake pops</t>
  </si>
  <si>
    <t>halloween whoopie pies extra chocolate</t>
  </si>
  <si>
    <t>## Halloween Reese's Whoopie Pies
*Double chocolate whoopie pies with creamy peanut butter filling, capturing that classic Reese's magic in spooky seasonal style*
### Ingredients
**For the chocolate cakes:**
- 1 cup all-purpose flour
- 1/2 cup unsweetened cocoa powder
- 1/2 cup brown sugar
- 1/2 teaspoon baking soda
- 1/4 teaspoon salt
- 1/2 cup buttermilk
- 1/4 cup melted butter
- 1 large egg
- 1/2 cup mini chocolate chips
**For the peanut butter filling:**
- 1/2 cup creamy peanut butter
- 1/4 cup softened butter
- 1 cup powdered sugar
- 2 tablespoons heavy cream
**For decoration:**
- 1/4 cup melted dark chocolate
- Orange sprinkles or crushed Reese's Pieces
### Instructions
1. Preheat oven to 350°F and line baking sheets with parchment paper.
2. Whisk together flour, cocoa powder, brown sugar, baking soda, and salt in a large bowl.
3. In another bowl, combine buttermilk, melted butter, and egg. Mix wet ingredients into dry ingredients until just combined.
4. Fold in mini chocolate chips. Drop 8 rounded spoonfuls of batter onto prepared sheets.
5. Bake 10-12 minutes until tops spring back when lightly touched. Cool completely.
6. Beat peanut butter, butter, powdered sugar, and cream until fluffy.
7. Sandwich filling between cake rounds. Drizzle with melted chocolate and top with orange sprinkles.
### Tips
Chill assembled whoopie pies for 30 minutes before serving for the perfect texture contrast.
### Serving Size
Serves 4 (makes 4 large whoopie pies)</t>
  </si>
  <si>
    <t>no bake cereal treats pb cookie dough for kids party</t>
  </si>
  <si>
    <t>## No-Bake Peanut Butter Cookie Dough Cereal Treats
*Kid-friendly cereal bars that taste like edible cookie dough with that perfect Reese's peanut butter-chocolate combo - no oven required!*
### Ingredients
- 4 cups Reese's Puffs cereal (or chocolate-peanut butter cereal)
- 1/2 cup creamy peanut butter
- 1/3 cup honey
- 1/4 cup mini chocolate chips
- 2 tablespoons brown sugar
- 1 teaspoon vanilla extract
- Pinch of salt
### Instructions
1. Line an 8x8 inch pan with parchment paper.
2. In a large microwave-safe bowl, warm peanut butter and honey for 30 seconds until easy to stir.
3. Mix in brown sugar, vanilla, and salt until smooth.
4. Add cereal and gently fold until every piece is coated.
5. Stir in chocolate chips.
6. Press mixture firmly into prepared pan using the back of a spoon.
7. Refrigerate for 30 minutes until set.
8. Cut into squares and serve.
### Tips
Wet your hands slightly when pressing the mixture to prevent sticking. Let kids help with the mixing - it's mess-free fun!
### Variations
Roll mixture into balls instead of bars, or drizzle melted chocolate on top for extra pizzazz.
### Serving Size
Serves 12 kids (makes 12 squares)</t>
  </si>
  <si>
    <t>vegan brownies for potluck, nutty flavor, 1 hour time</t>
  </si>
  <si>
    <t>## Vegan Peanut Butter Fudge Brownies
*Rich, fudgy brownies with that signature chocolate-peanut butter combo that'll have everyone asking for the recipe - no one will guess they're vegan!*
### Ingredients
- 1 cup all-purpose flour
- 3/4 cup cocoa powder
- 1 cup brown sugar
- 1/2 cup creamy peanut butter
- 1/2 cup vegetable oil
- 1/2 cup non-dairy milk (almond or oat)
- 1 tsp vanilla extract
- 1/2 tsp baking powder
- 1/4 tsp salt
- 1/2 cup chopped peanuts
- 1/3 cup vegan chocolate chips
### Instructions
1. Preheat oven to 350°F (175°C). Line an 8x8 inch pan with parchment paper.
2. Whisk together flour, cocoa powder, baking powder, and salt in a large bowl.
3. In another bowl, mix brown sugar, peanut butter, oil, non-dairy milk, and vanilla until smooth.
4. Pour wet ingredients into dry ingredients and stir until just combined.
5. Fold in chopped peanuts and chocolate chips.
6. Spread batter evenly in prepared pan.
7. Bake for 25-30 minutes until a toothpick comes out with a few moist crumbs.
8. Cool completely before cutting into squares.
### Tips
Swirl extra peanut butter on top before baking for that classic Reese's look!
### Serving Size
Serves 12-16 (perfect for potlucks!)</t>
  </si>
  <si>
    <t>christmas cookies pb mint dairy free</t>
  </si>
  <si>
    <t>## Peppermint Bark PB Christmas Cookies
*Dairy-free holiday cookies that capture the festive spirit of Reese's with a cool mint twist and that signature orange-brown color palette*
### Ingredients
- 1 cup creamy peanut butter (natural, no dairy)
- 1/2 cup coconut sugar
- 1/4 cup maple syrup
- 1 large egg
- 1 cup all-purpose flour
- 1/2 tsp baking soda
- 1/4 tsp salt
- 1/2 cup dairy-free dark chocolate chips
- 1/4 cup crushed candy canes
- 1/2 tsp peppermint extract
### Instructions
1. Preheat oven to 350°F (175°C) and line baking sheets with parchment paper.
2. Mix peanut butter, coconut sugar, maple syrup, egg, and peppermint extract in a large bowl until smooth.
3. In separate bowl, whisk flour, baking soda, and salt. Add to wet ingredients and stir until combined.
4. Fold in chocolate chips and half the crushed candy canes.
5. Roll dough into 1-inch balls and place 2 inches apart on baking sheets.
6. Flatten slightly with fork in crisscross pattern.
7. Bake 10-12 minutes until edges are lightly golden.
8. Immediately sprinkle remaining crushed candy canes on warm cookies.
### Notes
The orange-tinted peanut butter base with dark chocolate and red-white candy cane pieces creates beautiful Reese's-inspired holiday colors!
### Variations
Drizzle with melted dairy-free white chocolate for extra festive flair.
### Serving Size
Makes 24 cookies</t>
  </si>
  <si>
    <t>easter cupcakes pb caramel 1 hour recipe</t>
  </si>
  <si>
    <t>## Easter Peanut Butter Caramel Nest Cupcakes
*Golden caramel cupcakes with fluffy peanut butter frosting, topped with chocolate "dirt" and candy eggs - capturing that perfect Reese's spring vibe in under an hour!*
### Ingredients
**For Cupcakes:**
- 1 box yellow cake mix
- 3 large eggs
- 1/3 cup vegetable oil
- 1 cup water
- 1/2 cup caramel sauce
**For Peanut Butter Frosting:**
- 1/2 cup creamy peanut butter
- 1/4 cup butter, softened
- 2 cups powdered sugar
- 3-4 tablespoons milk
**For Topping:**
- 1 cup crushed chocolate cookies (like Oreos)
- 24 mini chocolate eggs or Reese's Peanut Butter Eggs
- Orange and brown sprinkles
### Instructions
1. Preheat oven to 350°F. Line 12 cupcake tins with paper liners.
2. Mix cake mix, eggs, oil, water, and caramel sauce until smooth. Divide batter among cupcake liners.
3. Bake 18-20 minutes until toothpick comes out clean. Cool completely (15 minutes).
4. Beat peanut butter and butter until fluffy. Gradually add powdered sugar and milk until smooth and pipeable.
5. Pipe frosting onto cooled cupcakes using a star tip.
6. Sprinkle crushed cookies on top to create "dirt," then nestle 2 chocolate eggs in each cupcake.
7. Finish with orange and brown sprinkles.
### Tips
Create little "nests" by making a small well in the frosting before adding the cookie crumbs and eggs.
### Serving Size
Makes 12 cupcakes</t>
  </si>
  <si>
    <t>new years cheesecake chocolate hazelnut</t>
  </si>
  <si>
    <t>## New Year's Chocolate Hazelnut Celebration Cheesecake
*Ring in the new year with this decadent cheesecake that captures Reese's indulgent spirit through rich chocolate and nutty hazelnut flavors, topped with golden accents that sparkle like midnight confetti*
### Ingredients
- 1½ cups chocolate graham cracker crumbs
- ¼ cup melted butter
- 24 oz cream cheese, softened
- ¾ cup sugar
- 3 large eggs
- ½ cup Nutella or chocolate hazelnut spread
- ¼ cup heavy cream
- 1 tsp vanilla extract
- ½ cup mini chocolate chips
- ¼ cup chopped toasted hazelnuts
- Gold edible glitter or sprinkles
### Instructions
1. Preheat oven to 325°F. Mix graham cracker crumbs and melted butter, press into bottom of 9-inch springform pan.
2. Beat cream cheese and sugar until smooth. Add eggs one at a time, then mix in Nutella, heavy cream, and vanilla.
3. Fold in chocolate chips and pour mixture over crust.
4. Bake 45-50 minutes until center is almost set. Cool completely, then refrigerate 4 hours.
5. Before serving, sprinkle with chopped hazelnuts and gold glitter for that New Year's sparkle.
### Tips
Drizzle melted chocolate in a spiral pattern and drag a toothpick from center to edge for an elegant web design that mimics Reese's signature swirl aesthetic.
### Serving Size
Serves 8</t>
  </si>
  <si>
    <t>bake sale bars pb toffee lower sugar 30 min</t>
  </si>
  <si>
    <t>## Peanut Butter Toffee Crunch Bars
*Quick bake sale winners with that perfect Reese's-style PB-chocolate combo, plus buttery toffee crunch and naturally lower sugar*
### Ingredients
- 1 cup rolled oats
- 1/2 cup natural peanut butter (no added sugar)
- 1/4 cup honey
- 1/4 cup mini chocolate chips
- 1/4 cup toffee bits
- 2 tablespoons coconut oil, melted
- 1/2 teaspoon vanilla extract
- Pinch of salt
### Instructions
1. Preheat oven to 350°F and line an 8x8 pan with parchment paper.
2. Mix oats, peanut butter, honey, coconut oil, vanilla, and salt in a large bowl until combined.
3. Fold in chocolate chips and toffee bits.
4. Press mixture firmly into prepared pan.
5. Bake for 15-18 minutes until edges are lightly golden.
6. Cool completely in pan (about 10 minutes), then cut into bars.
### Notes
The natural sweetness from honey and peanut butter keeps these lower in added sugar while the toffee bits add that irresistible crunch factor.
### Tips
- Press mixture down firmly with the back of a spoon for bars that hold together perfectly
- Wrap individually in cellophane for easy bake sale transport
### Serving Size
Makes 12 bars</t>
  </si>
  <si>
    <t>valentine's mousse pb strawberry make ahead</t>
  </si>
  <si>
    <t>## Valentine's Peanut Butter Strawberry Mousse Cups
*Silky peanut butter mousse meets fresh strawberries in a romantic dessert that captures Reese's indulgent spirit with Valentine's flair*
### Ingredients
- 1 cup heavy cream
- 1/2 cup creamy peanut butter
- 1/4 cup powdered sugar
- 4 oz cream cheese, softened
- 1 cup fresh strawberries, diced
- 2 tablespoons strawberry jam
- 1/4 cup mini chocolate chips or chopped Reese's cups
- 4 whole strawberries for garnish
### Instructions
1. Whip heavy cream to soft peaks in a large bowl, then set aside.
2. Beat cream cheese, peanut butter, and powdered sugar until smooth and fluffy.
3. Gently fold whipped cream into peanut butter mixture until combined.
4. Mix diced strawberries with jam in a small bowl.
5. Layer mousse and strawberry mixture in 4 glasses or cups, starting with mousse.
6. Top with chocolate chips and garnish with whole strawberries.
7. Refrigerate for at least 2 hours or overnight before serving.
### Notes
The orange-pink strawberry swirls against creamy peanut butter create beautiful Valentine's colors reminiscent of Reese's seasonal packaging.
### Tips
- Make up to 24 hours ahead for best flavor development
- Drizzle melted chocolate on glass rims for extra elegance
- Use heart-shaped cookie cutters on strawberry slices for decoration
### Serving Size
Serves 4</t>
  </si>
  <si>
    <t>bridal shower parfait classic pb chocolate</t>
  </si>
  <si>
    <t>## Bridal Bliss Peanut Butter Chocolate Parfait
*Elegant layers of creamy peanut butter mousse and rich chocolate pudding that capture the perfect union of two flavors - just like the happy couple! The orange-gold drizzle adds a touch of Reese's magic to this sophisticated dessert.*
### Ingredients
- 1 cup heavy cream
- 1/2 cup creamy peanut butter
- 1/4 cup powdered sugar
- 1 cup prepared chocolate pudding (store-bought or homemade)
- 1/2 cup crushed graham crackers
- 2 tablespoons honey
- 1/4 cup mini chocolate chips
- 2 tablespoons caramel sauce
### Instructions
1. Whip heavy cream to soft peaks, then fold in peanut butter and powdered sugar until smooth and fluffy.
2. Mix crushed graham crackers with honey to create a golden crumb mixture.
3. In clear glasses or parfait cups, layer: chocolate pudding, peanut butter mousse, honeyed crumbs, repeat.
4. Top with mini chocolate chips and a drizzle of caramel sauce.
5. Chill for 30 minutes before serving.
### Tips
Serve in elegant glass coupes or mason jars tied with orange ribbons for the perfect bridal shower presentation.
### Serving Size
Serves 4</t>
  </si>
  <si>
    <t>fall pie maple pb gluten free make ahead</t>
  </si>
  <si>
    <t>## Maple Peanut Butter Autumn Pie
*A gluten-free tribute to fall flavors with that perfect Reese's chocolate-meets-peanut butter harmony, enhanced by cozy maple sweetness*
### Ingredients
- 1½ cups gluten-free graham cracker crumbs (or crushed gluten-free cookies)
- ⅓ cup melted butter
- 1 cup creamy peanut butter
- ¾ cup pure maple syrup
- 8 oz cream cheese, softened
- 1 cup heavy whipping cream
- ½ cup mini chocolate chips
- 2 tbsp cocoa powder for dusting
### Instructions
1. Mix graham cracker crumbs and melted butter, press into 9-inch pie pan. Chill 30 minutes.
2. Beat cream cheese until smooth, then mix in peanut butter and maple syrup until combined.
3. Whip heavy cream to soft peaks, then gently fold into peanut butter mixture.
4. Fold in mini chocolate chips, then spoon filling into crust.
5. Smooth top and dust with cocoa powder in a decorative pattern.
6. Refrigerate at least 4 hours or overnight before serving.
### Notes
Make up to 2 days ahead - flavors actually improve overnight! Garnish with chopped toasted pecans for extra fall vibes.
### Tips
Create an orange-brown swirl by drizzling melted chocolate on top before chilling, then drag a toothpick through for that signature Reese's aesthetic.
### Serving Size
Serves 8</t>
  </si>
  <si>
    <t>christmas truffles spicy pb</t>
  </si>
  <si>
    <t>## Spicy Peanut Butter Christmas Truffles
*Rich, creamy peanut butter truffles with a festive kick of cinnamon and cayenne, rolled in chocolate and dusted with orange-tinted cocoa for that perfect Reese's holiday vibe*
### Ingredients
- 1 cup creamy peanut butter
- 1/4 cup powdered sugar
- 2 tablespoons honey
- 1/2 teaspoon ground cinnamon
- 1/4 teaspoon cayenne pepper
- 1 1/2 cups dark chocolate chips
- 2 tablespoons coconut oil
- 1/4 cup cocoa powder
- 1/8 teaspoon orange food coloring (optional)
### Instructions
1. Mix peanut butter, powdered sugar, honey, cinnamon, and cayenne in a bowl until smooth.
2. Chill mixture for 30 minutes until firm enough to roll.
3. Roll into 16 small balls and place on parchment-lined tray.
4. Melt chocolate chips with coconut oil in microwave, stirring every 30 seconds.
5. Dip each truffle in melted chocolate using a fork, letting excess drip off.
6. Return to parchment and refrigerate for 15 minutes.
7. Mix cocoa powder with orange food coloring if using, then dust truffles lightly.
### Tips
Serve in mini cupcake liners for an elegant Christmas presentation. The spice level builds with each bite!
### Variations
Roll some truffles in crushed Reese's Pieces instead of cocoa for extra crunch and color.
### Serving Size
Makes 16 truffles (serves 4)</t>
  </si>
  <si>
    <t>game day milkshake salty sweet high protein 10 min</t>
  </si>
  <si>
    <t>## Game Day Peanut Butter Blitz Shake
*A protein-packed powerhouse that tastes like liquid Reese's with a salty pretzel twist - perfect for fueling up during the big game!*
### Ingredients
- 1 cup vanilla Greek yogurt
- 1/2 cup milk of choice
- 3 tablespoons creamy peanut butter
- 2 tablespoons chocolate protein powder
- 1 tablespoon honey
- 1/2 cup ice cubes
- 1/4 cup mini pretzels
- 2 tablespoons mini chocolate chips
- Pinch of sea salt
### Instructions
1. Add yogurt, milk, peanut butter, protein powder, and honey to blender.
2. Blend on high for 30 seconds until smooth.
3. Add ice cubes and blend for another 15 seconds.
4. Crush half the pretzels and fold into shake along with chocolate chips.
5. Pour into glasses and top with remaining whole pretzels and a sprinkle of sea salt.
### Notes
The crushed pretzels add that perfect salty crunch reminiscent of Reese's Take 5 bars, while the protein powder keeps you energized for the whole game!
### Tips
- Freeze the glasses for 10 minutes beforehand for an extra-cold experience
- Drizzle melted peanut butter around the rim for ultimate indulgence
### Serving Size
Serves 2</t>
  </si>
  <si>
    <t>kids party ice cream pb banana</t>
  </si>
  <si>
    <t>## Reese's Banana Split Ice Cream Cups
*Turn classic banana splits into handheld party treats with that perfect peanut butter-chocolate combo kids crave!*
### Ingredients
- 1 pint vanilla ice cream, softened
- 3 ripe bananas, mashed
- 1/2 cup creamy peanut butter
- 1/4 cup mini chocolate chips
- 12 paper cupcake liners
- 1/2 cup crushed Reese's Peanut Butter Cups
- Whipped cream for topping
### Instructions
1. Mix softened ice cream with mashed bananas and peanut butter until smooth.
2. Fold in mini chocolate chips and half the crushed Reese's cups.
3. Scoop mixture into cupcake liners, filling about 3/4 full.
4. Freeze for 2 hours until firm.
5. Top each cup with whipped cream and remaining crushed Reese's cups before serving.
### Tips
- Use a cookie scoop for perfectly sized portions
- Let sit 2-3 minutes before serving for easier eating
- Stick colorful spoons in each cup for instant party appeal!
### Variations
Make it extra fun by adding orange sprinkles to match Reese's colors, or create a "build-your-own" station with various toppings.
### Serving Size
Makes 12 party cups</t>
  </si>
  <si>
    <t>office blondies caramel pb dairy free 30 min</t>
  </si>
  <si>
    <t>## Office-Ready Caramel PB Blondies (Dairy-Free)
*Golden brown blondies with swirled caramel and peanut butter - perfect for sharing at work and ready in 30 minutes!*
### Ingredients
- 1 cup all-purpose flour
- 1/2 cup brown sugar
- 1/3 cup creamy peanut butter
- 1/4 cup coconut oil, melted
- 1/4 cup dairy-free caramel sauce
- 1 egg
- 1/2 tsp vanilla extract
- 1/4 tsp salt
- 1/3 cup dairy-free chocolate chips
### Instructions
1. Preheat oven to 350°F and line an 8x8 pan with parchment paper.
2. Mix flour, brown sugar, and salt in a bowl.
3. In another bowl, whisk together melted coconut oil, peanut butter, egg, and vanilla.
4. Combine wet and dry ingredients until just mixed.
5. Spread batter in prepared pan and drizzle caramel sauce on top.
6. Use a knife to swirl caramel into batter, then sprinkle chocolate chips.
7. Bake 18-20 minutes until edges are set and center is slightly soft.
8. Cool 10 minutes before cutting into squares.
### Notes
Use store-bought dairy-free caramel or make quick caramel with coconut cream and brown sugar.
### Tips
Cut into small squares for easy office sharing - these are rich and satisfying!
### Serving Size
Makes 16 small squares (perfect for office treats)</t>
  </si>
  <si>
    <t>birthday donuts pb cinnamon roll</t>
  </si>
  <si>
    <t>## Peanut Butter Cinnamon Roll Birthday Donuts
*Fluffy baked donuts with swirled peanut butter cinnamon filling and orange-tinted glaze - like birthday cake met a Reese's cup in donut form!*
### Ingredients
**For Donuts:**
- 1 cup all-purpose flour
- 1/3 cup sugar
- 1 tsp baking powder
- 1/2 tsp salt
- 1/2 cup milk
- 1 egg
- 2 tbsp melted butter
**For PB Cinnamon Swirl:**
- 1/4 cup creamy peanut butter
- 2 tbsp brown sugar
- 1 tsp cinnamon
**For Birthday Glaze:**
- 1 cup powdered sugar
- 3 tbsp milk
- 2 drops orange food coloring
- 1/4 tsp vanilla
### Instructions
1. Preheat oven to 375°F and grease a 6-donut pan.
2. Mix flour, sugar, baking powder, and salt in a bowl.
3. Whisk milk, egg, and melted butter together, then fold into dry ingredients.
4. Mix peanut butter, brown sugar, and cinnamon for the swirl.
5. Fill donut molds halfway with batter, add a spoonful of PB mixture, then top with remaining batter.
6. Bake 12-15 minutes until golden.
7. Cool completely, then dip in orange glaze made by whisking all glaze ingredients.
### Tips
Sprinkle with mini chocolate chips or crushed Reese's Pieces while glaze is wet for extra birthday magic!
### Serving Size
Makes 6 donuts</t>
  </si>
  <si>
    <t>movie snack mix pb pretzel 10 min</t>
  </si>
  <si>
    <t>## Movie Night PB Pretzel Crunch Mix
*A sweet and salty snack that captures the perfect Reese's balance - ready in minutes for your next movie marathon!*
### Ingredients
- 4 cups mini pretzels
- 1 cup Reese's Pieces candy
- 1/2 cup creamy peanut butter
- 1/4 cup honey
- 1/2 cup mini chocolate chips
- 1/4 cup powdered sugar
### Instructions
1. Line a large baking sheet with parchment paper.
2. In a microwave-safe bowl, mix peanut butter and honey. Microwave for 30 seconds, stir until smooth.
3. In a large bowl, toss pretzels with the warm peanut butter mixture until evenly coated.
4. Spread mixture on prepared baking sheet and let cool for 3 minutes.
5. Sprinkle chocolate chips and Reese's Pieces over the mix while slightly warm.
6. Dust with powdered sugar and toss gently.
7. Let set for 2-3 minutes before serving.
### Tips
Store in an airtight container for up to one week - perfect for multiple movie nights!
### Variations
Swap Reese's Pieces for chopped Reese's Peanut Butter Cups for extra indulgence.
### Serving Size
Serves 4 (or 2 very hungry movie watchers!)</t>
  </si>
  <si>
    <t>valentine lava cake mocha pb 1 hour</t>
  </si>
  <si>
    <t>## Valentine's Peanut Butter Mocha Lava Cakes
*Molten chocolate-coffee centers meet creamy peanut butter in these romantic individual cakes that capture Reese's indulgent spirit with a caffeinated twist*
### Ingredients
- 4 oz dark chocolate, chopped
- 4 tablespoons butter
- 2 large eggs
- 2 tablespoons granulated sugar
- 2 tablespoons all-purpose flour
- 1 tablespoon instant coffee powder
- 4 tablespoons creamy peanut butter
- Butter and cocoa powder for ramekins
### Instructions
1. Preheat oven to 425°F. Butter four 6-oz ramekins and dust with cocoa powder.
2. Melt chocolate and butter in microwave in 30-second intervals, stirring until smooth. Stir in coffee powder.
3. Whisk eggs and sugar until pale, about 2 minutes. Fold in chocolate mixture, then flour.
4. Fill ramekins halfway with batter. Add 1 tablespoon peanut butter to center of each, then top with remaining batter.
5. Bake 12-14 minutes until edges are firm but centers jiggle slightly.
6. Let cool 2 minutes, then run knife around edges and invert onto plates.
### Notes
Serve immediately while centers are molten. Dust with powdered sugar and add a strawberry for Valentine's flair.
### Serving Size
Serves 4</t>
  </si>
  <si>
    <t>halloween pudding extra chocolate vegan</t>
  </si>
  <si>
    <t>## Spooky Orange &amp; Black Vegan Pudding
*A hauntingly delicious Halloween treat that captures Reese's iconic orange and chocolate colors in creamy, plant-based layers*
### Ingredients
- 1 can (14 oz) full-fat coconut milk
- 1/2 cup cocoa powder
- 1/3 cup maple syrup
- 1/4 cup cornstarch
- 1/4 cup natural peanut butter
- 2 tbsp vegan chocolate chips
- 1 tsp vanilla extract
- 1/4 tsp turmeric (for orange color)
- Pinch of salt
### Instructions
1. Whisk coconut milk, cocoa powder, maple syrup, and cornstarch in a saucepan until smooth.
2. Cook over medium heat, stirring constantly, for 5-7 minutes until thickened.
3. Remove from heat and stir in chocolate chips, vanilla, and salt until melted.
4. Divide mixture in half. Mix peanut butter and turmeric into one half for orange layer.
5. Layer alternately in glasses: chocolate, orange, chocolate. Swirl gently with a knife.
6. Chill for 2 hours until set.
### Notes
Top with crushed vegan chocolate cookies or orange sprinkles for extra Halloween flair!
### Serving Size
Serves 4</t>
  </si>
  <si>
    <t>summer tart pb strawberry gluten free make ahead</t>
  </si>
  <si>
    <t>## Summer Strawberry Peanut Butter Tart
*A vibrant no-bake tart that captures Reese's signature peanut butter magic with fresh summer strawberries and that classic orange-golden glow*
### Ingredients
- 1½ cups gluten-free graham cracker crumbs
- ⅓ cup melted butter
- 3 tablespoons honey
- 1 cup creamy peanut butter
- 8 oz cream cheese, softened
- ½ cup powdered sugar
- 1 cup heavy cream
- 2 cups fresh strawberries, hulled and sliced
- 3 tablespoons strawberry jam
- ¼ cup mini chocolate chips (optional)
### Instructions
1. Mix graham cracker crumbs, melted butter, and honey. Press into 9-inch tart pan and refrigerate 30 minutes.
2. Beat peanut butter, cream cheese, and powdered sugar until smooth.
3. Whip heavy cream to soft peaks, then fold into peanut butter mixture.
4. Spread filling into chilled crust and smooth top.
5. Arrange sliced strawberries in overlapping circles on top.
6. Warm strawberry jam slightly and brush over strawberries for glaze.
7. Sprinkle with mini chocolate chips if desired.
8. Refrigerate at least 4 hours or overnight before serving.
### Notes
Make up to 2 days ahead - add strawberries and glaze on serving day for best appearance.
### Tips
For extra Reese's vibes, drizzle melted peanut butter in decorative swirls before adding strawberries.
### Serving Size
Serves 8</t>
  </si>
  <si>
    <t>graduation soufflé chocolate hazelnut</t>
  </si>
  <si>
    <t>## Graduation Cap Chocolate Hazelnut Soufflé
*Celebrate achievements with these elegant individual soufflés that mirror Reese's indulgent chocolate-nut harmony, topped with a "graduation cap" of dark chocolate that's as impressive as any diploma!*
### Ingredients
- 6 oz dark chocolate, chopped
- 4 large eggs, separated
- 1/3 cup hazelnut spread (like Nutella)
- 1/4 cup heavy cream
- 2 tablespoons sugar
- 1 tablespoon butter (for ramekins)
- 2 tablespoons cocoa powder (for dusting)
- 4 small square chocolate pieces (for "caps")
### Instructions
1. Preheat oven to 375°F. Butter four 6-oz ramekins and dust with cocoa powder.
2. Melt chocolate with cream in a double boiler until smooth. Stir in hazelnut spread and egg yolks. Let cool slightly.
3. Whip egg whites with sugar until stiff peaks form.
4. Gently fold 1/3 of egg whites into chocolate mixture, then fold in remaining whites.
5. Divide mixture among ramekins, filling 3/4 full.
6. Bake 12-15 minutes until risen and slightly wobbly in center.
7. Top each with a square chocolate piece as a "graduation cap" and serve immediately.
### Tips
Dust with powdered sugar "confetti" and add a small pretzel stick as a tassel for extra graduation flair!
### Serving Size
Serves 4</t>
  </si>
  <si>
    <t>holiday market fudge pb mint make ahead</t>
  </si>
  <si>
    <t>## Holiday Market Peppermint Bark Fudge
*Rich peanut butter fudge topped with crushed candy canes and chocolate drizzle - perfect for gifting at holiday markets with that signature Reese's chocolate-meets-peanut butter magic*
### Ingredients
- 1 cup creamy peanut butter
- 1/2 cup butter, softened
- 3 cups powdered sugar
- 1/4 cup heavy cream
- 1/2 cup mini chocolate chips
- 1/3 cup crushed candy canes
- 1/4 cup melted dark chocolate (for drizzle)
### Instructions
1. Line an 8x8 pan with parchment paper and lightly grease.
2. Beat peanut butter and butter until smooth and creamy.
3. Gradually mix in powdered sugar and cream until thick fudge forms.
4. Fold in chocolate chips and press mixture firmly into prepared pan.
5. Sprinkle crushed candy canes on top, pressing gently to adhere.
6. Drizzle melted chocolate in zigzag pattern over surface.
7. Refrigerate 2 hours until firm, then cut into squares.
### Notes
Store in airtight container in refrigerator for up to 2 weeks - perfect for make-ahead holiday prep!
### Tips
- Wrap individual squares in cellophane with orange ribbons for that classic Reese's color scheme
- Double the recipe and use a 9x13 pan for larger batches
### Serving Size
Makes 16 squares</t>
  </si>
  <si>
    <t>potluck banana bread pb dairy free</t>
  </si>
  <si>
    <t>## Reese's-Style Banana Peanut Butter Bread
*A dairy-free twist on classic banana bread with that signature chocolate-peanut butter magic that screams Reese's vibes*
### Ingredients
- 3 ripe bananas, mashed
- 1/2 cup natural peanut butter
- 1/3 cup coconut oil, melted
- 1/2 cup brown sugar
- 1 flax egg (1 tbsp ground flaxseed + 3 tbsp water, mixed)
- 1 1/2 cups all-purpose flour
- 1 tsp baking soda
- 1/2 tsp salt
- 1/2 cup dairy-free chocolate chips
- 1/4 cup chopped peanuts (optional)
### Instructions
1. Preheat oven to 350°F and grease a 9x5 inch loaf pan.
2. In a large bowl, mix mashed bananas, peanut butter, melted coconut oil, and brown sugar until smooth.
3. Stir in the flax egg and mix well.
4. In a separate bowl, whisk together flour, baking soda, and salt.
5. Fold dry ingredients into wet ingredients until just combined.
6. Fold in chocolate chips and chopped peanuts.
7. Pour batter into prepared pan and bake for 55-60 minutes until a toothpick comes out clean.
8. Cool in pan for 10 minutes, then turn out onto wire rack.
### Tips
Drizzle with melted dairy-free chocolate and a sprinkle of crushed peanuts for that authentic Reese's look!
### Serving Size
Serves 8-10 (perfect for potluck sharing!)</t>
  </si>
  <si>
    <t>fall s'mores pb style 30 min</t>
  </si>
  <si>
    <t>## Fall S'mores Peanut Butter Cups
*Cozy campfire vibes meet Reese's magic in these autumn-spiced treats that capture the essence of toasted marshmallows, graham crackers, and that perfect peanut butter-chocolate combo.*
### Ingredients
- 1 sleeve graham crackers, crushed
- 3 tablespoons melted butter
- 1/2 cup creamy peanut butter
- 2 tablespoons powdered sugar
- 1/4 teaspoon cinnamon
- Pinch of nutmeg
- 1 cup mini marshmallows
- 6 Reese's Peanut Butter Cups, chopped
- 1/2 cup chocolate chips
### Instructions
1. Preheat oven to 350°F. Line an 8x8 pan with parchment paper.
2. Mix crushed graham crackers with melted butter. Press into bottom of pan.
3. Combine peanut butter, powdered sugar, cinnamon, and nutmeg. Spread over crust.
4. Sprinkle chopped Reese's cups and mini marshmallows on top.
5. Bake 12-15 minutes until marshmallows are golden and puffy.
6. Melt chocolate chips and drizzle over warm bars.
7. Cool 10 minutes before cutting into squares.
### Tips
Toast the marshmallows with a kitchen torch for extra campfire authenticity!
### Serving Size
Serves 4</t>
  </si>
  <si>
    <t>super bowl ice cream sandwich pb chocolate</t>
  </si>
  <si>
    <t>## Super Bowl Peanut Butter Chocolate Ice Cream Sandwiches
*Game day meets Reese's magic with these crowd-pleasing frozen treats that score big on chocolate-peanut butter flavor!*
### Ingredients
- 24 chocolate graham crackers (or chocolate chip cookies)
- 1 quart vanilla ice cream, softened
- 1/2 cup creamy peanut butter
- 1/4 cup mini chocolate chips
- 1/4 cup crushed Reese's Pieces (optional)
- 2 tablespoons honey
### Instructions
1. Mix softened ice cream with peanut butter and honey until swirled but not fully combined.
2. Fold in mini chocolate chips and half the crushed Reese's Pieces.
3. Spread ice cream mixture on 12 graham crackers, about 1/2 inch thick.
4. Top with remaining crackers, pressing gently to create sandwiches.
5. Roll edges in remaining Reese's Pieces if desired.
6. Wrap individually in plastic wrap and freeze for at least 2 hours.
7. Serve directly from freezer during halftime!
### Tips
Arrange on a platter with orange and brown napkins to match the Reese's color scheme. Cut diagonally for easier handling during the game.
### Variations
Use orange-colored sprinkles instead of Reese's Pieces for team spirit, or substitute peanut butter cookies for extra PB power.
### Serving Size
Serves 4 (makes 12 sandwiches - perfect for sharing!)</t>
  </si>
  <si>
    <t>easter cake pops coconut pb lower sugar 1 hour</t>
  </si>
  <si>
    <t>## Easter Bunny Coconut PB Cake Pops
*Adorable pastel-colored cake pops that capture Reese's Easter magic with coconut sweetness and creamy peanut butter - ready in just one hour!*
### Ingredients
- 1 cup vanilla cake crumbs (store-bought pound cake works great)
- 3 tablespoons natural peanut butter
- 2 tablespoons unsweetened shredded coconut
- 1 tablespoon honey or maple syrup
- 8 oz white chocolate melting wafers
- Orange and yellow food coloring
- 1/4 cup toasted coconut flakes for rolling
- 12 cake pop sticks
### Instructions
1. Mix cake crumbs, peanut butter, shredded coconut, and honey until it holds together when squeezed.
2. Roll mixture into 12 walnut-sized balls and chill for 15 minutes.
3. Melt white chocolate and divide into two bowls. Tint one orange (Reese's style) and leave one pale yellow.
4. Dip each stick 1/2 inch into melted chocolate, then insert into cake balls.
5. Dip each pop into colored chocolate, tap off excess, and immediately roll in toasted coconut.
6. Stand in styrofoam block and chill for 20 minutes until set.
### Notes
The natural peanut butter and honey keep these lower in refined sugar while the coconut adds Easter sweetness and texture.
### Tips
Create "bunny ears" by pressing two sliced almonds into the top before the chocolate sets!
### Serving Size
Makes 12 cake pops</t>
  </si>
  <si>
    <t>kids whoopie pies pb cookie dough</t>
  </si>
  <si>
    <t>## Peanut Butter Cookie Dough Whoopie Pies
*Soft, pillowy chocolate cakes sandwiched with creamy peanut butter cookie dough filling - like biting into a Reese's dream cloud!*
### Ingredients
**For the chocolate cakes:**
- 1 cup all-purpose flour
- 1/3 cup cocoa powder
- 1/2 cup brown sugar
- 1/2 teaspoon baking soda
- 1/4 cup melted butter
- 1/2 cup milk
- 1 egg
**For the PB cookie dough filling:**
- 1/2 cup creamy peanut butter
- 1/4 cup softened butter
- 1/2 cup powdered sugar
- 1/4 cup mini chocolate chips
- 2 tablespoons flour (heat-treated*)
### Instructions
1. Preheat oven to 350°F. Line baking sheet with parchment paper.
2. Mix flour, cocoa, brown sugar, and baking soda in a bowl.
3. Whisk together melted butter, milk, and egg. Add to dry ingredients until just combined.
4. Drop 8 spoonfuls of batter onto baking sheet, spacing apart.
5. Bake 10-12 minutes until tops spring back when touched. Cool completely.
6. Beat peanut butter, butter, and powdered sugar until fluffy. Fold in chocolate chips and flour.
7. Sandwich filling between cake rounds, pressing gently.
### Notes
*Heat-treat flour by microwaving 2 minutes, stirring every 30 seconds, to make it safe for raw consumption.
### Serving Size
Makes 4 whoopie pies (perfect for little hands!)</t>
  </si>
  <si>
    <t>game day cereal treats salty sweet peanut free 10 min</t>
  </si>
  <si>
    <t>## Game Day Chocolate Caramel Crunch Bars
*Quick no-bake bars that capture Reese's sweet-salty magic without the peanuts - perfect for cheering on your team!*
### Ingredients
- 6 cups Rice Krispies cereal
- 1/2 cup mini marshmallows
- 1/3 cup butter
- 1/2 cup brown sugar
- 1/4 cup heavy cream
- 1 cup semi-sweet chocolate chips
- 1/2 teaspoon sea salt
- 1/4 cup pretzel pieces, crushed
### Instructions
1. Line an 8x8 pan with parchment paper and spray with cooking spray.
2. In a large microwave-safe bowl, melt butter, brown sugar, and cream for 90 seconds. Stir until smooth.
3. Add chocolate chips to the hot mixture and stir until melted and glossy.
4. Fold in Rice Krispies, marshmallows, and half the crushed pretzels.
5. Press mixture firmly into prepared pan using a spatula.
6. Sprinkle remaining pretzels and sea salt on top, pressing gently.
7. Refrigerate for 5 minutes to set, then cut into bars.
### Notes
The orange-brown caramel color and sweet-salty combo gives you that classic Reese's vibe without any nuts!
### Serving Size
Serves 4 (makes 8 bars)</t>
  </si>
  <si>
    <t xml:space="preserve"> </t>
  </si>
  <si>
    <t>No actual resee's product.</t>
  </si>
  <si>
    <t>Resees's magic phrase in too many recipees. Just saying this does not make it a ressee's like experience. No actual resee's product.</t>
  </si>
  <si>
    <t>No resees'visual or color</t>
  </si>
  <si>
    <t>No resees'visual or color. everything has penut butter in it</t>
  </si>
  <si>
    <t>Evemt visual not strong. Resees's magic. No resees product. Too many ingredients.</t>
  </si>
  <si>
    <t>Themes should come from more than just peanut butter cups. It should come from other brand offerings. Event not strongly represented.</t>
  </si>
  <si>
    <t>More peanut butter types specification?</t>
  </si>
  <si>
    <t>Open coding - round 1</t>
  </si>
  <si>
    <t>themes should come from more than just peanut butter cups. It should come from other brand offerings. Event not strongly represented. Time not totally accurate more like 15 than 10.</t>
  </si>
  <si>
    <t xml:space="preserve"> No resees product. Recess theme week.</t>
  </si>
  <si>
    <t>Definition</t>
  </si>
  <si>
    <t>No actual Reese's product</t>
  </si>
  <si>
    <t>Recipe fails to visually or thematically convey the Reese's brand through colors, layering, or structure.</t>
  </si>
  <si>
    <t>No Reese's visual or color</t>
  </si>
  <si>
    <t>Overuses peanut butter as the sole defining brand feature without variety or deeper Reese's differentiation.</t>
  </si>
  <si>
    <t>Everything has peanut butter in it</t>
  </si>
  <si>
    <t>Recipe does not effectively align with the intended event or occasion (e.g., birthday, game day, holiday).</t>
  </si>
  <si>
    <t>Event not strongly represented</t>
  </si>
  <si>
    <t>Ingredient descriptions are incomplete, ambiguous, or overly complex, reducing clarity and usability.</t>
  </si>
  <si>
    <t>More peanut butter type specification?â€</t>
  </si>
  <si>
    <t>Preparation steps, timing, or yield are inaccurate or misleading.</t>
  </si>
  <si>
    <t>Overuses repetitive or generic brand phrasing, such as 'Reese's magic,' across multiple recipes.</t>
  </si>
  <si>
    <t>Reese's magic phrase in too many recipes</t>
  </si>
  <si>
    <r>
      <t xml:space="preserve">Weak </t>
    </r>
    <r>
      <rPr>
        <b/>
        <sz val="11"/>
        <color theme="1"/>
        <rFont val="Calibri"/>
        <family val="2"/>
        <scheme val="minor"/>
      </rPr>
      <t>Event</t>
    </r>
    <r>
      <rPr>
        <sz val="11"/>
        <color theme="1"/>
        <rFont val="Calibri"/>
        <family val="2"/>
        <scheme val="minor"/>
      </rPr>
      <t xml:space="preserve"> or Occasion Representation</t>
    </r>
  </si>
  <si>
    <r>
      <rPr>
        <b/>
        <sz val="11"/>
        <color theme="1"/>
        <rFont val="Calibri"/>
        <family val="2"/>
        <scheme val="minor"/>
      </rPr>
      <t>Ingredient</t>
    </r>
    <r>
      <rPr>
        <sz val="11"/>
        <color theme="1"/>
        <rFont val="Calibri"/>
        <family val="2"/>
        <scheme val="minor"/>
      </rPr>
      <t xml:space="preserve"> Specification Issues</t>
    </r>
  </si>
  <si>
    <t xml:space="preserve">Parent </t>
  </si>
  <si>
    <t>child</t>
  </si>
  <si>
    <t>Ingredience issue</t>
  </si>
  <si>
    <r>
      <t xml:space="preserve">Over-Reliance on Generic </t>
    </r>
    <r>
      <rPr>
        <b/>
        <sz val="11"/>
        <color theme="1"/>
        <rFont val="Calibri"/>
        <family val="2"/>
        <scheme val="minor"/>
      </rPr>
      <t xml:space="preserve">Peanut Butter </t>
    </r>
    <r>
      <rPr>
        <sz val="11"/>
        <color theme="1"/>
        <rFont val="Calibri"/>
        <family val="2"/>
        <scheme val="minor"/>
      </rPr>
      <t>Theme</t>
    </r>
  </si>
  <si>
    <t>No resee's product</t>
  </si>
  <si>
    <t>Brand</t>
  </si>
  <si>
    <t>Formulaic Brand expersion</t>
  </si>
  <si>
    <t>Week brand visual experssion</t>
  </si>
  <si>
    <t>Ingredients</t>
  </si>
  <si>
    <r>
      <t xml:space="preserve">Procedural or </t>
    </r>
    <r>
      <rPr>
        <b/>
        <sz val="11"/>
        <color theme="1"/>
        <rFont val="Calibri"/>
        <family val="2"/>
        <scheme val="minor"/>
      </rPr>
      <t>Time Inaccuracy</t>
    </r>
  </si>
  <si>
    <t>Recipe lacks actual Reese's products.</t>
  </si>
  <si>
    <t>Open code example</t>
  </si>
  <si>
    <t>Event</t>
  </si>
  <si>
    <t>Procedure</t>
  </si>
  <si>
    <t xml:space="preserve"> Time Inaccuracy</t>
  </si>
  <si>
    <t>Time not totally accurate more like 15 than 10</t>
  </si>
  <si>
    <t>answer - round 1</t>
  </si>
  <si>
    <t>## Reese's Birthday Blast Brownies
*Rich fudgy brownies loaded with chopped Reese's cups and topped with peanut butter swirl - the ultimate birthday treat that brings together chocolate and peanut butter in every bite!*
### Time
45 minutes
### Serving Size
Serves 8
### Ingredients
- 1 box brownie mix (plus ingredients called for on box)
- 8 regular Reese's Peanut Butter Cups, roughly chopped
- 1/2 cup creamy peanut butter
- 2 tablespoons powdered sugar
- 2 tablespoons milk
- Orange and brown sprinkles (optional)
### Instructions
1. Preheat oven according to brownie box directions and grease a 9x9 pan.
2. Prepare brownie batter as directed on box, then fold in chopped Reese's cups.
3. Pour batter into prepared pan and bake according to package directions.
4. While brownies bake, whisk together peanut butter, powdered sugar, and milk until smooth.
5. When brownies are done, let cool for 10 minutes, then drizzle peanut butter mixture on top in swirls.
6. Add sprinkles while peanut butter is still wet, then cool completely before cutting.
### Tips
Create perfect swirls by dropping spoonfuls of the peanut butter mixture on top, then drag a knife through in figure-8 patterns for that classic Reese's orange swirl look!</t>
  </si>
  <si>
    <t>## Reese's No-Bake Salty Sweet Clusters
*Crispy, chewy, salty-sweet perfection that captures the iconic Reese's flavor combo without any gluten or baking time!*
### Time
20 minutes (plus 10 minutes chilling)
### Serving Size
Makes 24 cookies
### Ingredients
- 2 cups gluten-free crispy rice cereal
- 1 cup mini Reese's Peanut Butter Cups, chopped
- 1/2 cup creamy peanut butter
- 1/3 cup honey
- 1/4 cup mini chocolate chips
- 1/2 teaspoon sea salt (plus extra for sprinkling)
- 1/4 cup crushed pretzels
### Instructions
1. Line a baking sheet with parchment paper.
2. In a large microwave-safe bowl, heat peanut butter and honey for 45 seconds. Stir until smooth.
3. Add rice cereal, chopped Reese's cups, chocolate chips, salt, and crushed pretzels. Mix until everything is coated.
4. Using a cookie scoop or spoons, drop mixture onto parchment paper in 24 mounds.
5. Sprinkle tops lightly with extra sea salt.
6. Refrigerate for 10 minutes until set.
### Tips
Store in airtight containers with parchment between layers - they'll stay fresh for 3 days and transport beautifully to your bake sale!
### Variations
Swap pretzels for crushed gluten-free graham crackers, or use Reese's Pieces instead of chopped cups for extra color pop.</t>
  </si>
  <si>
    <t>## Reese's PB Banana Birthday Blast Cupcakes
*Inspired by the legendary "Elvis" Reese's Cup - where peanut butter meets banana in perfect harmony, just like The King would have wanted!*
### Time
45 minutes
### Serving Size
Makes 12 cupcakes
### Ingredients
- 1 box vanilla cake mix
- 2 ripe bananas, mashed
- 1/2 cup creamy peanut butter
- 12 Reese's Peanut Butter Cups, chopped
- 1 container vanilla frosting
- 1/4 cup peanut butter (for frosting)
- 12 mini Reese's cups for topping
- Orange and brown sprinkles
### Instructions
1. Preheat oven to 350°F and line muffin tin with cupcake liners.
2. Prepare cake mix according to package directions, then fold in mashed bananas and chopped Reese's cups.
3. Fill cupcake liners 2/3 full and bake 18-20 minutes until golden.
4. While cooling, mix vanilla frosting with 1/4 cup peanut butter until smooth.
5. Pipe or spread peanut butter frosting on cooled cupcakes.
6. Top each with a mini Reese's cup and sprinkle with orange and brown sprinkles.
### Tips
Let kids help mash the bananas and add the sprinkles - they'll love getting their hands messy! For extra birthday magic, stick a small candle right into each mini Reese's cup topper.
### Fun Fact
The Elvis Reese's Cup was a real limited edition flavor that combined peanut butter with banana creme - these cupcakes bring that rock 'n' roll spirit to your party!</t>
  </si>
  <si>
    <t>## Reese's PB&amp;J Valentine Cheesecake
*A romantic twist on the classic PB&amp;J combo, featuring layers of creamy peanut butter cheesecake swirled with strawberry hearts - just like Reese's seasonal Peanut Butter Hearts but in elegant cheesecake form*
### Time
4 hours (including 3 hours chilling time)
### Serving Size
Serves 8
### Ingredients
- 1½ cups graham cracker crumbs
- ¼ cup melted butter
- 16 oz cream cheese, softened
- ¾ cup creamy peanut butter
- ½ cup powdered sugar
- 1 cup heavy cream
- 1 packet unflavored gelatin
- ¼ cup warm water
- ½ cup strawberry jam
- 8 Reese's Peanut Butter Hearts, chopped
- Fresh strawberries for garnish
### Instructions
1. Mix graham cracker crumbs and melted butter. Press into 9-inch springform pan. Refrigerate 30 minutes.
2. Dissolve gelatin in warm water, let cool slightly.
3. Beat cream cheese, peanut butter, and powdered sugar until smooth. Add gelatin mixture.
4. Whip heavy cream to soft peaks, fold into peanut butter mixture.
5. Pour half the mixture over crust. Dot with spoonfuls of strawberry jam and swirl with knife to create heart patterns.
6. Add remaining cheesecake mixture, sprinkle chopped Reese's Hearts on top.
7. Refrigerate overnight (minimum 3 hours).
8. Garnish with fresh strawberries before serving.
### Tips
Create perfect heart swirls by dropping jam in small dots, then dragging a toothpick from the center outward. The overnight chill makes this dessert even more luxurious and allows flavors to meld beautifully - perfect for Valentine's morning surprise!</t>
  </si>
  <si>
    <t>## Game Day Champion Bars
*Salty-sweet victory bars that combine the crunch of pretzels with creamy peanut butter and chocolate - perfect for cheering on your team!*
### Time
1 hour (including 30 minutes chilling time)
### Serving Size
Serves 8-10
### Ingredients
- 2 cups crushed pretzels
- 1/2 cup melted butter
- 1 cup creamy peanut butter
- 1/2 cup powdered sugar
- 8 Reese's Big Cups with Pretzels, chopped
- 1 1/2 cups chocolate chips
- 2 tablespoons coconut oil
- 1/2 cup mini pretzels for topping
### Instructions
1. Line an 8x8 pan with parchment paper and preheat oven to 350°F.
2. Mix crushed pretzels with melted butter, press into pan bottom, and bake 10 minutes.
3. While crust bakes, combine peanut butter and powdered sugar until smooth.
4. Spread peanut butter mixture over warm crust, then sprinkle chopped Reese's Big Cups on top.
5. Melt chocolate chips with coconut oil, pour over bars, and top with mini pretzels.
6. Refrigerate 30 minutes until set, then cut into squares.
### Tips
Cut these bars into football-shaped pieces using a large cookie cutter for extra game day spirit! The orange wrapper colors from the Reese's cups will peek through beautifully.</t>
  </si>
  <si>
    <t>## Dairy-Free PB Toffee Cloud Mousse
*Silky smooth peanut butter mousse with crunchy toffee bits that captures the indulgent spirit of Reese's in an airy, dreamy texture*
### Time
20 minutes (plus 2 hours chilling)
### Serving Size
Serves 4
### Ingredients
- 1 cup creamy peanut butter
- 1/2 cup coconut cream (chilled, thick part only)
- 1/3 cup powdered sugar
- 1/4 cup dairy-free milk (oat or almond)
- 1 tsp vanilla extract
- 1/2 cup crushed Reese's Sticks (or Heath toffee bits)
- 2 tbsp mini chocolate chips (dairy-free)
- Extra crushed Reese's Sticks for topping
### Instructions
1. Whip chilled coconut cream with electric mixer until fluffy peaks form (2-3 minutes).
2. In separate bowl, whisk peanut butter, powdered sugar, dairy-free milk, and vanilla until smooth.
3. Gently fold whipped coconut cream into peanut butter mixture until combined.
4. Fold in crushed Reese's Sticks and chocolate chips.
5. Divide into 4 serving glasses and chill for 2 hours.
6. Top with extra crushed Reese's Sticks before serving.
### Tips
Chill your mixing bowl and beaters for 15 minutes before whipping coconut cream for best results. The mousse gets even better after overnight chilling!
### Variations
Swap Reese's Sticks for crushed NutRageous bars for an extra nutty crunch, or use Reese's Pieces for colorful pops of peanut butter flavor.</t>
  </si>
  <si>
    <t>## Reese's PB Caramel Cloud Parfait
*Layers of creamy peanut butter mousse and golden caramel that capture the indulgent swirl of a Big Cup Caramel in a glass*
### Time
10 minutes
### Serving Size
Serves 4
### Ingredients
- 1 cup heavy whipping cream
- 1/2 cup creamy peanut butter
- 1/4 cup powdered sugar
- 1/2 cup caramel sauce (store-bought)
- 8 Reese's Peanut Butter Cups, chopped
- 1/2 cup crushed graham crackers
### Instructions
1. Whip cream and powdered sugar until soft peaks form (2-3 minutes).
2. Fold in peanut butter until smooth and fluffy.
3. Layer in clear glasses: graham crackers, PB mousse, caramel drizzle, chopped cups.
4. Repeat layers once more.
5. Top with extra chopped cups and a caramel swirl.
6. Chill until serving (or serve immediately).
### Tips
Drizzle caramel down the inside of glasses before layering for that signature Reese's swirl look that'll wow your BBQ guests!</t>
  </si>
  <si>
    <t>## Maple Peanut Butter Thanksgiving Pie
*A make-ahead masterpiece that brings together autumn's maple sweetness with Reese's signature peanut butter richness - perfect for your Thanksgiving table*
### Time
30 minutes prep + 4 hours chilling
### Serving Size
Serves 8
### Ingredients
- 1 pre-made graham cracker crust (9-inch)
- 1 cup creamy peanut butter
- 8 oz cream cheese, softened
- 1/2 cup pure maple syrup
- 1 cup heavy whipping cream
- 1/4 cup powdered sugar
- 12 Reese's Peanut Butter Cups, chopped (divided)
- 2 tbsp maple syrup (for drizzle)
### Instructions
1. Beat cream cheese and peanut butter until smooth and fluffy (3 minutes).
2. Gradually add 1/2 cup maple syrup, mixing until combined.
3. In separate bowl, whip cream and powdered sugar to soft peaks.
4. Gently fold whipped cream into peanut butter mixture.
5. Fold in 3/4 of the chopped Reese's cups, saving rest for topping.
6. Spoon filling into crust and smooth top.
7. Refrigerate 4+ hours or overnight.
8. Before serving, top with remaining chopped cups and drizzle with maple syrup.
### Tips
Make this pie up to 2 days ahead! The flavors actually improve overnight. For extra autumn flair, sprinkle with crushed gingersnap cookies alongside the Reese's pieces.
### Variations
Swap graham crust for a pretzel crust, or use Reese's Big Cup with Nuts for added crunch and seasonal appeal.</t>
  </si>
  <si>
    <t>## Reese's Valentine Heart Truffles
*Rich dark chocolate meets vibrant orange in these quick no-bake truffles that capture Reese's signature color combo - perfect for last-minute Valentine's magic!*
### Time
25 minutes (including 15 minutes chilling)
### Serving Size
Makes 12 heart-shaped truffles
### Ingredients
- 6 oz dark chocolate, finely chopped
- 1/3 cup heavy cream
- 2 tablespoons Reese's peanut butter
- 1 teaspoon orange zest
- 1/4 teaspoon orange extract
- 1/2 cup cocoa powder
- Orange food coloring (2-3 drops)
- 12 mini Reese's Hearts for topping
### Instructions
1. **Make ganache**: Heat cream in microwave for 45 seconds. Pour over chopped chocolate, let sit 2 minutes, then whisk until smooth.
2. **Add flavors**: Stir in peanut butter, orange zest, and orange extract until combined.
3. **Chill**: Refrigerate mixture for 15 minutes until firm enough to shape.
4. **Shape hearts**: Using a small spoon, scoop mixture and quickly roll into heart shapes with your hands.
5. **Color coating**: Mix cocoa powder with 2-3 drops orange food coloring in a shallow bowl.
6. **Finish**: Roll each truffle in orange cocoa powder and top with a mini Reese's Heart.
### Tips
Press mini Reese's Hearts gently into truffles while ganache is still slightly soft for best adhesion. Serve immediately or chill until ready to gift!</t>
  </si>
  <si>
    <t>## Reese's Movie Night Milkshake
*The perfect creamy, dreamy treat that brings the theater candy counter right to your couch – thick, rich, and loaded with that iconic peanut butter-chocolate magic*
### Time
10 minutes
### Serving Size
Serves 4
### Ingredients
- 4 cups vanilla ice cream
- 1/2 cup whole milk
- 1/3 cup creamy peanut butter
- 6 Reese's Peanut Butter Cups, chopped (plus extra for topping)
- 2 tablespoons chocolate syrup
- 1/4 cup heavy cream
- 2 tablespoons powdered sugar
- Reese's Pieces for garnish
### Instructions
1. Add ice cream, milk, peanut butter, chopped Reese's cups, and chocolate syrup to blender.
2. Blend on high for 30-45 seconds until thick and creamy.
3. Whip heavy cream and powdered sugar until soft peaks form.
4. Pour milkshake into tall glasses, leaving room at the top.
5. Top with whipped cream, extra chopped Reese's cups, and scatter Reese's Pieces on top.
6. Serve immediately with thick straws.
### Tips
Drizzle chocolate syrup down the inside of glasses before pouring for an extra theatrical look! Freeze glasses for 10 minutes beforehand to keep shakes extra thick during your movie marathon.</t>
  </si>
  <si>
    <t>## Reese's Cookie Dough Ice Cream
*Creamy peanut butter ice cream loaded with edible cookie dough chunks and mini Reese's cups - the ultimate make-ahead summer treat that captures that iconic PB-chocolate magic*
### Time
4 hours (30 minutes active prep + 3.5 hours freezing)
### Serving Size
Serves 8
### Ingredients
- 2 cups heavy cream
- 1 cup whole milk
- 3/4 cup creamy peanut butter
- 1/2 cup brown sugar
- 1/4 cup granulated sugar
- 4 large egg yolks
- 1 tsp vanilla extract
- 1 cup mini Reese's Peanut Butter Cups, chopped
- **Cookie Dough:**
  - 1/2 cup butter, softened
  - 1/3 cup brown sugar
  - 2 tbsp peanut butter
  - 1/2 cup flour (heat-treated*)
  - 2 tbsp mini chocolate chips
### Instructions
1. **Make cookie dough:** Mix butter, brown sugar, and peanut butter. Add flour and chocolate chips. Roll into small balls and freeze 30 minutes.
2. **Heat base:** Warm milk and cream in saucepan. Whisk egg yolks with both sugars until pale.
3. **Make custard:** Slowly add warm milk to yolks, whisking constantly. Return to pan, cook until it coats a spoon (170°F).
4. **Add PB:** Whisk in peanut butter and vanilla until smooth. Chill completely (2 hours).
5. **Churn:** Process in ice cream maker according to manufacturer's instructions. In final 2 minutes, add cookie dough balls and chopped Reese's cups.
6. **Freeze:** Transfer to container, freeze 2+ hours until firm.
### Tips
*Heat-treat flour by microwaving 1 minute, stirring every 15 seconds, to make it safe for raw consumption.
### Variations
**Mini Cups Version:** Use Reese's Miniatures instead of chopped cups for perfect bite-sized pieces throughout!</t>
  </si>
  <si>
    <t>## Reese's Big Cup Caramel Blondies (Gluten-Free)
*Rich, chewy blondies inspired by the indulgent Reese's Big Cup Caramel – perfect for sharing the peanut butter love at your office party!*
### Time
35 minutes
### Serving Size
Serves 12 office party portions
### Ingredients
- 1 cup creamy peanut butter
- 3/4 cup brown sugar
- 2 large eggs
- 1/2 cup almond flour
- 1/4 cup coconut flour
- 1/2 tsp vanilla extract
- 1/4 tsp salt
- 6 Reese's Big Cup Caramel (chopped into chunks)
- 1/3 cup caramel sauce (for drizzling)
### Instructions
1. Preheat oven to 350°F and line an 8x8 pan with parchment paper.
2. Mix peanut butter, brown sugar, and eggs until smooth.
3. Stir in both flours, vanilla, and salt until just combined.
4. Fold in chopped Reese's Big Cup Caramel pieces.
5. Spread batter in prepared pan and bake 22-25 minutes until edges are set.
6. Cool completely, then drizzle with caramel sauce in that signature Reese's swirl pattern.
7. Cut into squares and watch your coworkers swoon!
### Tips
Cut with a plastic knife for cleaner squares, and store covered – these get even chewier overnight! The orange-brown caramel drizzle gives them that perfect Reese's aesthetic.</t>
  </si>
  <si>
    <t>## Peanut Butter Cinnamon Roll Festival Donuts
*Warm autumn spices meet creamy peanut butter in these fluffy baked donuts that capture the cozy fall festival vibe with that signature Reese's twist*
### Time
35 minutes
### Serving Size
Serves 4 (makes 8 donuts)
### Ingredients
- 1 cup all-purpose flour
- 1/3 cup brown sugar
- 1 tsp baking powder
- 1/2 tsp cinnamon
- 1/4 tsp salt
- 1/2 cup milk
- 1/4 cup creamy peanut butter
- 1 egg
- 2 tbsp melted butter
- 1/2 cup chopped Reese's Peanut Butter Cups
- 1/4 cup powdered sugar (for glaze)
- 2 tbsp milk (for glaze)
- 1/4 tsp cinnamon (for topping)
### Instructions
1. Preheat oven to 375°F and grease a donut pan.
2. Whisk together flour, brown sugar, baking powder, cinnamon, and salt in a large bowl.
3. In another bowl, mix milk, peanut butter, egg, and melted butter until smooth.
4. Combine wet and dry ingredients, then fold in chopped Reese's cups.
5. Pipe batter into donut molds, filling 2/3 full.
6. Bake 12-15 minutes until golden brown.
7. Mix powdered sugar and milk for glaze, then dip warm donuts.
8. Sprinkle with cinnamon before glaze sets.
### Tips
Warm the peanut butter slightly for easier mixing, and serve these donuts warm for the ultimate fall festival experience!</t>
  </si>
  <si>
    <t>## Reese's Championship Crunch Mix
*Game day just got a whole lot sweeter with this winning combo of salty, sweet, and that perfect peanut butter punch!*
### Time
10 minutes
### Serving Size
Serves 8 (perfect for your Super Bowl crew!)
### Ingredients
- 3 cups Reese's Puffs cereal
- 2 cups salted pretzels
- 1 cup roasted peanuts
- 1 cup Reese's Pieces
- 1/2 cup mini Reese's Peanut Butter Cups, roughly chopped
- 2 tablespoons melted butter
- 1 tablespoon honey
- 1/2 teaspoon garlic powder
- 1/4 teaspoon sea salt
### Instructions
1. **Mix the base**: In a large bowl, combine Reese's Puffs, pretzels, peanuts, and Reese's Pieces.
2. **Create the glaze**: Whisk together melted butter, honey, garlic powder, and sea salt.
3. **Toss and coat**: Drizzle the glaze over the mix and toss until everything is lightly coated.
4. **Add the finale**: Fold in the chopped mini Reese's cups gently so they don't melt.
5. **Serve immediately**: Pour into bowls and watch it disappear faster than a touchdown celebration!
### Tips
Serve in team-colored bowls and add orange sprinkles for that signature Reese's look that'll score big with your guests!</t>
  </si>
  <si>
    <t>## Valentine's Peanut Butter Lava Mocha Cakes
*Rich chocolate-coffee cakes with molten peanut butter hearts that flow like liquid gold - a romantic twist on the classic Reese's flavor combo*
### Time
30 minutes
### Serving Size
Serves 4
### Ingredients
- 4 Reese's Peanut Butter Hearts (or 8 miniature cups)
- 1/2 cup dark chocolate chips
- 1/4 cup butter
- 2 large eggs
- 1/4 cup granulated sugar
- 2 tablespoons all-purpose flour
- 1 tablespoon instant coffee powder
- 1/4 cup creamy peanut butter (warmed)
- Butter and cocoa powder for ramekins
### Instructions
1. Preheat oven to 425°F. Butter four 6-oz ramekins and dust with cocoa powder.
2. Melt chocolate chips and butter in microwave for 1 minute, stir until smooth.
3. Whisk eggs and sugar until thick (2 minutes). Fold in chocolate mixture, flour, and coffee powder.
4. Place 1 Reese's Heart in center of each ramekin, pour batter around it.
5. Bake 12-14 minutes until edges are firm but centers jiggle slightly.
6. Let cool 2 minutes, run knife around edges, and invert onto plates.
7. Drizzle warm peanut butter over each cake in heart patterns.
### Tips
Serve immediately while the peanut butter center is still molten. Dust with powdered sugar and add a fresh strawberry for the perfect Valentine's presentation!</t>
  </si>
  <si>
    <t>## Dairy-Free Reese's Style Chocolate Peanut Butter Pudding
*Creamy, dreamy pudding that captures the classic Reese's combo without any dairy - perfect for little hands and big smiles!*
### Time
30 minutes (including 15 minutes chilling time)
### Serving Size
Serves 6 kids
### Ingredients
- 1 can (14 oz) coconut milk (full-fat)
- 1/3 cup cocoa powder
- 1/4 cup maple syrup
- 3 tablespoons cornstarch
- 1/2 cup creamy peanut butter (dairy-free)
- 1 teaspoon vanilla extract
- 1/4 cup mini Reese's Pieces (for topping)
- 2 tablespoons crushed Reese's Puffs cereal (for crunch)
### Instructions
1. Whisk coconut milk, cocoa powder, maple syrup, and cornstarch in a medium saucepan until smooth.
2. Cook over medium heat, stirring constantly, for 5-7 minutes until thickened.
3. Remove from heat and whisk in peanut butter and vanilla until creamy.
4. Divide into 6 small cups or bowls.
5. Chill in refrigerator for 15 minutes.
6. Top each pudding with mini Reese's Pieces and crushed Puffs before serving.
### Tips
* Swirl extra peanut butter on top for that classic Reese's look!
* Let kids help sprinkle the toppings - they'll love the orange and brown colors.
* Serve in clear cups to show off the rich chocolate layers.</t>
  </si>
  <si>
    <t>## Reese's PB&amp;J Bridal Bliss Tart
*A romantic twist on the classic PB&amp;J Big Cup flavor - elegant enough for a bridal shower with that perfect peanut butter and strawberry love story*
### Time
45 minutes (including 20 minutes chilling)
### Serving Size
Serves 8
### Ingredients
- 1 pre-made graham cracker crust (9-inch)
- 1 cup creamy peanut butter
- 8 oz cream cheese, softened
- 1/2 cup powdered sugar
- 1 cup heavy whipping cream
- 1 cup fresh strawberries, sliced
- 1/4 cup strawberry jam
- 6 Reese's PB&amp;J Big Cup (Strawberry), chopped
- 2 tbsp crushed Reese's Pieces for garnish
### Instructions
1. Beat peanut butter, cream cheese, and powdered sugar until smooth and fluffy.
2. In separate bowl, whip heavy cream to soft peaks, then gently fold into peanut butter mixture.
3. Spread half the peanut butter cream into graham crust.
4. Layer sliced strawberries over cream, then dot with small spoonfuls of jam.
5. Top with remaining peanut butter cream and smooth gently.
6. Arrange chopped PB&amp;J Big Cups around the edge and sprinkle Reese's Pieces in center.
7. Chill for 20 minutes before serving.
### Tips
Create a beautiful presentation by arranging strawberry slices in a rose pattern in the center, then dust with a light sprinkle of the orange Reese's Pieces for that signature color pop!</t>
  </si>
  <si>
    <t>## Reese's Graduation Cap Chocolate Soufflé
*Rich, airy chocolate soufflé topped with a "graduation cap" made from Reese's Big Cups - because this achievement deserves the ultimate chocolate-peanut butter celebration!*
### Time
55 minutes
### Serving Size
Serves 4
### Ingredients
- 6 oz dark chocolate, chopped
- 4 large eggs, separated
- 1/3 cup granulated sugar, divided
- 3 tablespoons creamy peanut butter
- 2 tablespoons butter
- 1 tablespoon all-purpose flour
- 1/2 cup whole milk
- 4 Reese's Big Cups (for "graduation caps")
- 4 mini Reese's Pieces (for cap "tassels")
- Butter and sugar for ramekins
### Instructions
1. Preheat oven to 375°F. Butter four 6-oz ramekins and coat with sugar.
2. Melt chocolate and butter in double boiler. Whisk in flour, then gradually add milk until smooth.
3. Remove from heat, whisk in peanut butter and egg yolks one at a time.
4. Beat egg whites with remaining sugar until stiff peaks form.
5. Fold 1/3 of whites into chocolate mixture, then gently fold in remaining whites.
6. Divide among ramekins, filling 3/4 full. Bake 18-20 minutes until risen and slightly wobbly.
7. Top each hot soufflé with an upside-down Big Cup as the "cap" and a Reese's Piece as the "tassel."
### Tips
Serve immediately while soufflés are puffed - the warm chocolate will slightly melt the Reese's "graduation caps" for an extra indulgent finish!</t>
  </si>
  <si>
    <t>## Reese's Peppermint Christmas Tree Fudge
*Creamy peanut butter fudge swirled with cool mint and topped with crushed Reese's Trees - perfect for holiday gifting and tastes even better after chilling overnight!*
### Time
20 minutes prep + 4 hours chilling
### Serving Size
Serves 12 (makes 24 squares)
### Ingredients
- 2 cups white chocolate chips
- 1 cup creamy peanut butter
- 1/4 cup sweetened condensed milk
- 1/2 teaspoon peppermint extract
- Green food coloring (3-4 drops)
- 8 Reese's Peanut Butter Christmas Trees, chopped
- 2 tablespoons crushed candy canes
### Instructions
1. Line an 8x8 pan with parchment paper and spray with cooking spray.
2. Melt white chocolate chips and peanut butter in microwave in 30-second intervals, stirring until smooth.
3. Stir in condensed milk until creamy.
4. Pour 2/3 of mixture into prepared pan and spread evenly.
5. Add peppermint extract and green coloring to remaining mixture, stir well.
6. Drop spoonfuls of green mixture over base layer and swirl with a knife.
7. Press chopped Reese's Trees and crushed candy canes on top.
8. Refrigerate 4 hours or overnight until firm.
### Notes
**Make-ahead magic:** This fudge actually improves after 24 hours as flavors meld together. Store covered in refrigerator for up to one week - perfect for holiday prep!
### Tips
Cut into squares using a warm knife for clean edges, and package in festive tins for beautiful holiday gifts.</t>
  </si>
  <si>
    <t>## Reese's Family Reunion Banana Bread
*A crowd-pleasing twist on classic banana bread that brings together the beloved flavors of chocolate and peanut butter - perfect for sharing memories and making new ones*
### Time
1 hour 15 minutes
### Serving Size
Serves 12
### Ingredients
- 3 ripe bananas, mashed
- 1/3 cup melted butter
- 3/4 cup sugar
- 1 egg, beaten
- 1 teaspoon vanilla extract
- 1 teaspoon baking soda
- Pinch of salt
- 1 1/2 cups all-purpose flour
- 1/2 cup creamy peanut butter
- 1 cup chopped Reese's Peanut Butter Cups
- 1/2 cup mini chocolate chips
### Instructions
1. Preheat oven to 350°F and grease a 9x5 inch loaf pan.
2. Mix mashed bananas with melted butter in a large bowl.
3. Stir in sugar, egg, and vanilla until combined.
4. Add baking soda, salt, and flour - mix until just combined.
5. Swirl in peanut butter with a knife for marbled effect.
6. Fold in chopped Reese's cups and chocolate chips.
7. Pour into prepared pan and bake 60-65 minutes until golden.
8. Cool completely before slicing.
### Tips
Warm slices slightly and serve with a drizzle of melted peanut butter for an extra indulgent family treat. The bread stays moist for days and gets even better with time!</t>
  </si>
  <si>
    <t>## Reese's Campfire S'mores Stacks
*Classic s'mores get the ultimate peanut butter cup upgrade – because everything's better with Reese's!*
### Time
30 minutes
### Serving Size
Serves 4
### Ingredients
- 8 graham cracker squares
- 4 regular Reese's Peanut Butter Cups
- 4 large marshmallows
- 2 tablespoons creamy peanut butter
- 1/4 cup mini Reese's Pieces
- 2 tablespoons chocolate chips
### Instructions
1. **Prep the grill or fire pit** – get your coals or flames ready for roasting marshmallows.
2. **Spread peanut butter** thinly on 4 graham cracker squares.
3. **Place Reese's cups** on the peanut butter-covered crackers.
4. **Roast marshmallows** over the fire until golden and gooey (about 5-8 minutes).
5. **Assemble s'mores** by placing hot marshmallow on top of Reese's cup, then top with remaining graham cracker.
6. **Press gently** to melt the peanut butter cup slightly.
7. **Roll edges** in mini Reese's Pieces and chocolate chips while marshmallow is still sticky.
### Tips
The heat from the marshmallow will perfectly soften the Reese's cup for that ultimate melty, gooey experience. Serve immediately while everything is warm and melty!
### Variations
Try using Reese's Big Cups for extra indulgence, or swap in Reese's Pieces-filled Big Cups for double the crunch!</t>
  </si>
  <si>
    <t>## Reese's Picnic Ice Cream Sandwiches
*Classic peanut butter and chocolate flavors meet summer fun in these grab-and-go frozen treats that capture the iconic Reese's taste in sandwich form*
### Time
20 minutes (plus 2 hours freezing)
### Serving Size
Serves 6
### Ingredients
- 12 chocolate graham crackers or chocolate wafer cookies
- 1 pint vanilla ice cream, softened
- 1/2 cup creamy peanut butter
- 1/4 cup mini Reese's Pieces
- 1/4 cup crushed Reese's Peanut Butter Cups
- 2 tablespoons honey
### Instructions
1. Mix softened ice cream with peanut butter and honey until smooth and swirled
2. Fold in mini Reese's Pieces and half the crushed cups
3. Spread ice cream mixture generously on 6 chocolate cookies
4. Top with remaining cookies, pressing gently to create sandwiches
5. Roll edges in remaining crushed Reese's cups
6. Wrap individually in parchment paper and freeze for 2 hours
### Tips
Perfect for outdoor gatherings! Wrap in orange and brown parchment paper for that authentic Reese's look. Keep in a cooler with ice packs for picnics.
### Variations
Try using Reese's Thins as the "cookies" for an extra indulgent twist, or swap vanilla ice cream for peanut butter ice cream for double the PB power!</t>
  </si>
  <si>
    <t>## Coconut Peanut Butter Baby Bump Cake Pops
*Adorable gluten-free treats that capture Reese's creamy peanut butter magic with tropical coconut - perfect for celebrating new arrivals!*
### Time
45 minutes (plus 2 hours chilling)
### Serving Size
Makes 20 cake pops
### Ingredients
- 1 box gluten-free vanilla cake mix (plus eggs, oil per box instructions)
- 1/2 cup creamy peanut butter
- 1/4 cup coconut cream
- 1 cup powdered sugar
- 12 oz white chocolate melting wafers
- 1 cup sweetened shredded coconut
- 20 cake pop sticks
- 6 mini Reese's Peanut Butter Cups, chopped fine
### Instructions
1. Bake cake according to package directions, cool completely, then crumble into fine pieces
2. Mix crumbled cake with peanut butter, coconut cream, and powdered sugar until moldable
3. Fold in chopped Reese's pieces
4. Roll mixture into 20 oval "baby bump" shapes, chill 1 hour
5. Melt white chocolate, dip stick tips and insert into pops, chill 30 minutes
6. Dip each pop in melted chocolate, immediately roll in coconut
7. Place in styrofoam block to set, chill final 30 minutes
### Tips
**Make-Ahead Magic:** These keep perfectly in the fridge for 3 days! Store in airtight container between parchment layers.
### Variations
Create "baby bottle" shapes instead of bumps, or add a drop of orange food coloring to the white chocolate for that classic Reese's color pop!</t>
  </si>
  <si>
    <t>## Reese's Halloween Whoopie Pies
*Spooky-soft chocolate cakes sandwiched with creamy peanut butter filling, inspired by Reese's Peanut Butter Pumpkins*
### Time
35 minutes
### Serving Size
Serves 4 (8 whoopie pies)
### Ingredients
- 1 box chocolate cake mix
- 3 eggs
- 1/3 cup vegetable oil
- 1 cup water
- 1/2 cup creamy peanut butter
- 1/4 cup butter, softened
- 1 cup powdered sugar
- 8 Reese's Peanut Butter Pumpkins, chopped
- Orange food coloring (optional)
### Instructions
1. Preheat oven to 350°F. Line baking sheets with parchment paper.
2. Mix cake mix, eggs, oil, and water until smooth. Drop 16 rounded spoonfuls onto baking sheets.
3. Bake 10-12 minutes until tops spring back when touched. Cool completely.
4. Beat peanut butter, butter, and powdered sugar until fluffy. Add orange coloring if desired.
5. Spread filling on flat side of 8 cakes, top with chopped pumpkins, then sandwich with remaining cakes.
6. Chill 15 minutes before serving.
### Tips
Roll edges in mini chocolate chips or crushed Reese's Pieces for extra Halloween flair! Store covered for up to 3 days.</t>
  </si>
  <si>
    <t>## No-Bake Reese's Puffs Cookie Dough Bites
*Edible cookie dough meets crunchy cereal in these irresistible party-perfect bites that capture the magic of Reese's in every spoonful!*
### Time
15 minutes
### Serving Size
Serves 8-10 kids
### Ingredients
- 2 cups Reese's Puffs cereal
- 1 cup all-purpose flour (heat-treated*)
- 1/2 cup creamy peanut butter
- 1/4 cup softened butter
- 1/3 cup brown sugar
- 2 tablespoons milk
- 1/2 cup mini chocolate chips
- 1/4 cup chopped Reese's Miniatures
### Instructions
1. Heat-treat flour by microwaving for 1 minute, stirring every 20 seconds, then let cool.
2. Mix peanut butter, butter, and brown sugar in a large bowl until creamy.
3. Add cooled flour and milk, stirring until cookie dough forms.
4. Fold in chocolate chips and chopped Reese's Miniatures.
5. Using a small cookie scoop, form into bite-sized balls.
6. Roll each ball in Reese's Puffs cereal until completely coated.
7. Chill for 10 minutes to firm up, then serve immediately.
### Tips
* **Party Presentation:** Serve in orange and brown cupcake liners for that perfect Reese's color scheme!
* **Make-Ahead:** These keep in the fridge for up to 3 days - perfect for party prep.
### Variations
* **Extra Crunch:** Add crushed Reese's Pieces to the cookie dough mixture for double the peanut butter flavor!</t>
  </si>
  <si>
    <t>## Vegan Reese's-Style Peanut Butter Fudge Brownies
*Rich, fudgy brownies swirled with creamy peanut butter that capture the iconic Reese's flavor combination - completely plant-based for your potluck crowd!*
### Time
55 minutes
### Serving Size
Serves 12-16 (perfect for potlucks!)
### Ingredients
- 1½ cups all-purpose flour
- 1 cup cocoa powder
- 1½ cups brown sugar
- 1 tsp baking powder
- ½ tsp salt
- ¾ cup natural peanut butter (divided)
- ½ cup coconut oil, melted
- 1 cup non-dairy milk (oat or almond)
- 2 tsp vanilla extract
- ½ cup chopped Reese's Plant-Based Cups (or vegan chocolate chips + extra peanut butter)
### Instructions
1. Preheat oven to 350°F and line a 9x13 pan with parchment paper.
2. Whisk together flour, cocoa powder, brown sugar, baking powder, and salt in a large bowl.
3. In another bowl, mix ½ cup peanut butter, melted coconut oil, non-dairy milk, and vanilla until smooth.
4. Pour wet ingredients into dry ingredients and stir until just combined. Fold in chopped plant-based cups.
5. Pour batter into prepared pan and smooth the top.
6. Warm remaining ¼ cup peanut butter until drizzle-able. Drop spoonfuls over brownie batter and swirl with a knife to create marbled pattern.
7. Bake 28-32 minutes until a toothpick comes out with a few moist crumbs.
8. Cool completely before cutting into squares.
### Tips
Cut into classic Reese's orange-wrapper-sized squares and arrange on an orange platter to really capture that iconic look! These brownies actually taste better the next day as flavors meld together.</t>
  </si>
  <si>
    <t>## Reese's Peppermint Bark Christmas Cookies
*Dairy-free holiday magic that captures the festive spirit of Reese's with a cool mint twist*
### Time
35 minutes
### Serving Size
Serves 4 (makes about 16 cookies)
### Ingredients
- 1 cup all-purpose flour
- 1/2 cup creamy peanut butter
- 1/3 cup coconut oil, melted
- 1/4 cup brown sugar
- 1/4 cup dairy-free chocolate chips
- 1/4 teaspoon peppermint extract
- 1/4 cup crushed candy canes
- 2 tablespoons Reese's Pieces (or dairy-free chocolate chips)
- Pinch of salt
### Instructions
1. Preheat oven to 350°F and line a baking sheet with parchment paper.
2. Mix peanut butter, melted coconut oil, brown sugar, and peppermint extract in a large bowl.
3. Add flour and salt, stirring until a soft dough forms.
4. Fold in chocolate chips and half the crushed candy canes.
5. Roll dough into 16 small balls and place on baking sheet, flattening slightly.
6. Press remaining candy canes and Reese's Pieces on top for that festive Reese's look.
7. Bake 12-15 minutes until edges are lightly golden.
8. Cool completely before serving.
### Tips
Drizzle with melted dairy-free chocolate and sprinkle extra crushed candy canes for that signature Reese's orange-and-brown holiday aesthetic!</t>
  </si>
  <si>
    <t>## Reester Bunny Caramel Surprise Cupcakes
*Golden caramel-filled cupcakes topped with peanut butter frosting and crowned with Reese's Peanut Butter Eggs - the perfect Easter treat that captures the magic of finding hidden treasures!*
### Time
55 minutes
### Serving Size
Serves 12 cupcakes
### Ingredients
- 1 box vanilla cake mix (plus ingredients called for on box)
- 12 Reese's Peanut Butter Eggs
- 1/2 cup caramel sauce (store-bought)
- 1/2 cup creamy peanut butter
- 1/4 cup butter, softened
- 2 cups powdered sugar
- 3-4 tablespoons milk
- Orange and yellow sprinkles
- 12 mini Reese's Pieces for decoration
### Instructions
1. Preheat oven to 350°F and line 12 muffin cups with paper liners.
2. Prepare cake mix according to package directions and divide batter among cups.
3. Bake 18-20 minutes until golden. Cool completely.
4. Using a small spoon, scoop out center of each cupcake and fill with 1 teaspoon caramel sauce.
5. Beat peanut butter, butter, powdered sugar, and milk until fluffy.
6. Pipe frosting on cupcakes and top each with a Reese's Peanut Butter Egg.
7. Sprinkle with orange and yellow sprinkles and add a few Reese's Pieces around each egg.
### Tips
Press the Peanut Butter Eggs gently into the frosting so they look like they're "nestled" in for Easter! The caramel center creates a delicious surprise with every bite.</t>
  </si>
  <si>
    <t>## New Year's Midnight Kiss Cheesecake
*A decadent chocolate hazelnut cheesecake crowned with crushed Reese's cups, capturing that perfect "midnight kiss" moment when chocolate meets peanut butter*
### Time
45 minutes (plus 4 hours chilling)
### Serving Size
Serves 8
### Ingredients
- 1½ cups chocolate graham cracker crumbs
- ¼ cup melted butter
- 16 oz cream cheese, softened
- ½ cup powdered sugar
- ½ cup Nutella or chocolate hazelnut spread
- 1 cup heavy whipping cream
- 8 regular Reese's Peanut Butter Cups, chopped
- 2 tbsp cocoa powder for dusting
- Gold sprinkles (for New Year's sparkle)
### Instructions
1. Mix graham cracker crumbs and melted butter, press into 9-inch springform pan. Chill 15 minutes.
2. Beat cream cheese until fluffy, add powdered sugar and Nutella until smooth.
3. Whip heavy cream to soft peaks, fold into cream cheese mixture.
4. Spread half the mixture over crust, sprinkle with half the chopped Reese's cups.
5. Add remaining cheesecake mixture, top with remaining Reese's pieces.
6. Chill 4 hours. Before serving, dust with cocoa powder and add gold sprinkles.
### Tips
Create a "countdown clock" design on top using whole mini Reese's cups arranged like clock numbers, with two pretzel sticks as clock hands pointing to midnight!
### Variations
Make individual mini cheesecakes in cupcake tins for perfect party portions - just reduce chilling time to 2 hours.</t>
  </si>
  <si>
    <t>## Peanut Butter Toffee Crunch Bars
*These golden-brown bars capture the irresistible Reese's combo with a satisfying toffee crunch - perfect for bake sales and busy families!*
### Time
30 minutes
### Serving Size
Makes 16 bars
### Ingredients
- 1 cup rolled oats
- 1/2 cup natural peanut butter
- 1/4 cup honey
- 2 tablespoons coconut oil, melted
- 1/2 cup mini Reese's Peanut Butter Cups, chopped
- 1/4 cup toffee bits
- 1/4 cup mini chocolate chips
- 1/4 teaspoon vanilla extract
- Pinch of salt
### Instructions
1. Preheat oven to 350°F and line an 8x8 pan with parchment paper.
2. Mix oats, peanut butter, honey, coconut oil, vanilla, and salt in a large bowl until combined.
3. Fold in chopped Reese's cups, toffee bits, and chocolate chips.
4. Press mixture firmly into prepared pan using the back of a spoon.
5. Bake for 15-18 minutes until edges are golden brown.
6. Cool completely in pan before cutting into bars.
### Tips
Let bars cool completely for clean cuts - they'll firm up as they cool! Wrap individually in cellophane for perfect bake sale presentation.
### Variations
Swap toffee bits for crushed Reese's Pieces for extra peanut butter punch, or use sugar-free chocolate chips to reduce sweetness even more.</t>
  </si>
  <si>
    <t>## Sweetheart Swirl Mousse Cups
*Creamy peanut butter mousse meets strawberry sweetness in elegant layers - a make-ahead Valentine's treat that captures the romance of Reese's PB&amp;J Big Cup flavors*
### Time
20 minutes prep + 4 hours chilling
### Serving Size
Serves 4
### Ingredients
- 8 Reese's PB&amp;J Big Cups (Strawberry), chopped
- 1 cup heavy whipping cream
- 1/2 cup creamy peanut butter
- 1/4 cup powdered sugar
- 1/2 cup strawberry jam
- 4 fresh strawberries for garnish
- 2 tablespoons mini chocolate chips
### Instructions
1. Whip heavy cream and powdered sugar until soft peaks form.
2. Gently fold in peanut butter until smooth and fluffy.
3. Layer half the mousse in 4 clear glasses or ramekins.
4. Add a spoonful of strawberry jam to each glass.
5. Top with remaining mousse and chopped Reese's PB&amp;J cups.
6. Refrigerate for 4 hours or overnight.
7. Before serving, garnish with fresh strawberries and mini chocolate chips.
### Tips
Create romantic swirls by gently dragging a toothpick through the jam layer before adding the final mousse layer. The orange and pink colors mirror Reese's Valentine's packaging perfectly!
### Variations
Make individual "love bites" using shot glasses for a party-perfect presentation, or freeze for 2 hours for a semi-frozen mousse texture.</t>
  </si>
  <si>
    <t>## Reese's Bridal Bliss Parfait
*Elegant layers of chocolate and peanut butter that celebrate love's perfect match - just like the bride and groom!*
### Time
15 minutes
### Serving Size
Serves 4
### Ingredients
- 2 cups vanilla pudding (store-bought or homemade)
- 1/2 cup creamy peanut butter
- 1 cup heavy cream
- 2 tablespoons powdered sugar
- 12 Reese's Miniatures, chopped
- 1 cup chocolate cookie crumbs (like Oreos)
- 8 Reese's Pieces for garnish
- Gold edible pearls (optional, for bridal elegance)
### Instructions
1. Whisk peanut butter into vanilla pudding until smooth and creamy.
2. Whip heavy cream with powdered sugar until soft peaks form.
3. Fold half the whipped cream into the peanut butter pudding mixture.
4. In clear glasses or parfait cups, layer: cookie crumbs, peanut butter pudding, chopped Reese's Miniatures, remaining whipped cream.
5. Repeat layers once more, ending with whipped cream on top.
6. Garnish each parfait with 2 Reese's Pieces and gold pearls for that bridal sparkle.
### Tips
Chill for 30 minutes before serving for best texture. Use champagne flutes for an extra elegant presentation that matches the bridal shower theme!
### Variations
Make mini versions in shot glasses for bite-sized treats, or add a layer of crushed Reese's Puffs cereal for extra crunch.</t>
  </si>
  <si>
    <t>## Maple Peanut Butter Autumn Harvest Pie
*A gluten-free tribute to fall flavors with that signature Reese's peanut butter magic - make it ahead for stress-free entertaining!*
### Time
45 minutes (plus 4 hours chilling time)
### Serving Size
Serves 8
### Ingredients
- 2 cups gluten-free graham cracker crumbs
- 6 tbsp melted butter
- 1 cup creamy peanut butter
- 8 oz cream cheese, softened
- 1/2 cup pure maple syrup
- 1 cup heavy whipping cream
- 12 Reese's Peanut Butter Cups, chopped (reserve 4 for topping)
- 1/4 cup mini Reese's Pieces
- 2 tbsp maple syrup (for drizzling)
### Instructions
1. Mix graham cracker crumbs and melted butter, press into 9-inch pie pan. Refrigerate 15 minutes.
2. Beat peanut butter, cream cheese, and maple syrup until smooth and fluffy.
3. Whip heavy cream to soft peaks, then fold into peanut butter mixture.
4. Fold in chopped Reese's cups, pour into crust.
5. Refrigerate 4 hours or overnight.
6. Before serving, top with reserved chopped cups, Reese's Pieces, and drizzle with maple syrup.
### Notes
**Make-Ahead Magic:** This pie actually tastes better after overnight chilling! The flavors meld beautifully and the texture becomes perfectly creamy. Store covered in fridge for up to 3 days.
### Variations
Swap regular graham crackers for gluten-free gingersnap crumbs for extra fall spice, or use Reese's Peanut Butter Big Cup with Nuts for added autumn crunch!</t>
  </si>
  <si>
    <t>## Spicy Peanut Butter Christmas Truffles
*Festive holiday truffles with a kick of heat that perfectly balance Reese's creamy peanut butter with warming spices - like unwrapping a surprise under the Christmas tree!*
### Time
45 minutes (including 30 minutes chilling time)
### Serving Size
Makes 20 truffles
### Ingredients
- 1 cup creamy peanut butter
- 8 oz cream cheese, softened
- 1/4 cup powdered sugar
- 1/2 teaspoon cayenne pepper
- 1/4 teaspoon cinnamon
- 12 oz melted milk chocolate (for coating)
- 1 cup crushed Reese's Peanut Butter Cups
- Red and green sprinkles for decoration
### Instructions
1. Mix peanut butter, cream cheese, powdered sugar, cayenne, and cinnamon until smooth.
2. Chill mixture for 30 minutes until firm enough to roll.
3. Roll into 20 walnut-sized balls and place on parchment-lined tray.
4. Dip each truffle in melted chocolate, letting excess drip off.
5. Immediately roll in crushed Reese's Cups and top with festive sprinkles.
6. Refrigerate 15 minutes until chocolate sets.
### Tips
Dust your hands with powdered sugar when rolling to prevent sticking. For extra heat, add a pinch of chipotle powder!
### Variations
Make them extra festive by using white chocolate coating and rolling in crushed Reese's Peanut Butter Christmas Trees instead!</t>
  </si>
  <si>
    <t>## Game Day Peanut Butter Blitz Shake
*A championship-worthy protein shake that tackles sweet and salty cravings with Reese's power*
### Time
10 minutes
### Serving Size
Serves 4
### Ingredients
- 2 cups vanilla protein powder
- 1½ cups whole milk
- ½ cup creamy peanut butter
- 8 Reese's Peanut Butter Cups, chopped
- 2 tablespoons honey
- 1 cup ice cubes
- ¼ cup salted pretzels, crushed
- Whipped cream for topping
### Instructions
1. Add milk, protein powder, peanut butter, honey, and ice to blender.
2. Blend on high for 60 seconds until smooth and frothy.
3. Add half the chopped Reese's cups and pulse 3-4 times to mix in chunks.
4. Pour into 4 tall glasses.
5. Top with whipped cream, remaining Reese's pieces, and crushed pretzels.
6. Serve immediately with thick straws.
### Tips
Freeze glasses for 10 minutes beforehand for an extra-cold game day experience. The salty pretzel crunch mimics stadium snacks while the Reese's delivers that winning sweet finish!
### Variations
Make it a "Victory Lap" version by adding a scoop of vanilla ice cream for extra indulgence after the big win.</t>
  </si>
  <si>
    <t>## Reese's Banana Split Ice Cream Cups
*Transform classic banana splits into handheld Reese's-inspired treats that capture that perfect peanut butter and chocolate magic!*
### Time
15 minutes (plus 2 hours freezing)
### Serving Size
Serves 8 kids
### Ingredients
- 8 Reese's Big Cups (frozen for 30 minutes)
- 1 pint vanilla ice cream (softened)
- 2 ripe bananas, diced small
- 1/2 cup mini Reese's Pieces
- 1/4 cup creamy peanut butter
- 1/4 cup chocolate syrup
- Whipped cream for topping
### Instructions
1. Carefully remove peanut butter filling from frozen Big Cups, creating chocolate "bowls" (save the peanut butter filling!)
2. Mix softened ice cream with diced bananas and half the Reese's Pieces
3. Warm saved peanut butter filling and swirl into ice cream mixture
4. Scoop mixture into chocolate cup "bowls"
5. Drizzle with chocolate syrup and top with whipped cream
6. Sprinkle remaining Reese's Pieces on top
7. Freeze for 2 hours until firm
### Tips
Place cups in muffin tins while freezing to keep them upright. Let kids help with the mixing and decorating - they'll love seeing the orange and brown swirls come together!
### Variations
Make mini versions using regular Reese's Cups for bite-sized party treats, or add crushed Reese's Puffs cereal for extra crunch.</t>
  </si>
  <si>
    <t>## Office Hero Caramel PB Blondies
*Dairy-free blondies that bring the irresistible Reese's caramel-peanut butter magic to your workplace - because everyone deserves a sweet break!*
### Time
30 minutes
### Serving Size
Serves 8 (perfect for sharing!)
### Ingredients
- 1 cup all-purpose flour
- 3/4 cup brown sugar
- 1/2 cup creamy peanut butter
- 1/3 cup coconut oil, melted
- 1/4 cup dairy-free milk (oat or almond)
- 1 egg
- 1 tsp vanilla extract
- 1/2 tsp baking powder
- 1/4 tsp salt
- 1/2 cup Reese's Big Cup Caramel pieces, chopped
- 3 tbsp dairy-free caramel sauce
### Instructions
1. Preheat oven to 350°F and line an 8x8 pan with parchment paper.
2. Mix flour, brown sugar, baking powder, and salt in a large bowl.
3. Whisk together peanut butter, melted coconut oil, dairy-free milk, egg, and vanilla.
4. Fold wet ingredients into dry ingredients until just combined.
5. Stir in chopped Reese's caramel pieces.
6. Spread batter in prepared pan and drizzle with caramel sauce.
7. Bake 20-22 minutes until golden and set.
8. Cool 10 minutes before cutting into squares.
### Tips
Swirl the caramel sauce with a knife before baking for that signature Reese's marbled look that'll have your coworkers asking for the recipe!</t>
  </si>
  <si>
    <t>## Reese's Birthday Cinnamon Roll Donuts
*Fluffy cinnamon roll donuts swirled with peanut butter filling and topped with chocolate glaze - like unwrapping a Reese's cup on your birthday morning!*
### Time
35 minutes
### Serving Size
Serves 6
### Ingredients
- 1 tube refrigerated cinnamon rolls (8 count)
- 1/2 cup creamy peanut butter
- 1/4 cup powdered sugar
- 1 cup chocolate chips
- 2 tablespoons heavy cream
- 1/4 cup chopped Reese's Peanut Butter Cups
- Orange and brown sprinkles
### Instructions
1. Preheat oven to 375°F and spray donut pan with cooking spray.
2. Mix peanut butter and powdered sugar until smooth.
3. Unroll each cinnamon roll, spread 1 tablespoon peanut butter mixture, then re-roll.
4. Shape each roll into a circle and place in donut pan wells.
5. Bake 12-15 minutes until golden brown.
6. Melt chocolate chips with cream in microwave, stirring every 30 seconds.
7. Dip warm donuts in chocolate glaze, then sprinkle with chopped Reese's cups and birthday sprinkles.
### Tips
Stack them on a cake stand and add birthday candles right in the center holes for an instant birthday cake alternative!
### Variations
Make mini versions using a mini donut pan - perfect for birthday party treats that guests can grab and go.</t>
  </si>
  <si>
    <t>## Reese's Movie Night Pretzel Mix
*The perfect sweet and salty combo that brings the theater experience home with that iconic peanut butter chocolate crunch*
### Time
10 minutes
### Serving Size
Serves 4
### Ingredients
- 3 cups mini pretzels
- 1 cup Reese's Pieces
- 1/2 cup Reese's Peanut Butter Chips
- 1/4 cup honey
- 2 tablespoons melted butter
- 1/4 teaspoon salt
### Instructions
1. Preheat oven to 300°F and line a baking sheet with parchment paper.
2. Toss pretzels with melted butter, honey, and salt in a large bowl.
3. Spread pretzel mixture on baking sheet and bake for 5 minutes.
4. Remove from oven and immediately sprinkle Reese's Pieces and peanut butter chips over hot pretzels.
5. Let cool for 2 minutes, then toss gently and serve in bowls.
### Tips
Serve in classic red and white striped popcorn containers for the full movie theater vibe! The residual heat will slightly soften the Reese's candies for the perfect chewy-crunchy texture.
### Variations
Add popcorn for extra volume, or drizzle with melted chocolate for an even more indulgent treat.</t>
  </si>
  <si>
    <t>## Valentine's Peanut Butter Lava Mocha Cakes
*Rich chocolate mocha cakes with molten peanut butter hearts that flow like liquid gold - the perfect "two great tastes" Valentine surprise*
### Time
1 hour
### Serving Size
Serves 4
### Ingredients
- 4 Reese's Peanut Butter Hearts (or 8 miniature cups)
- 1/2 cup dark chocolate chips
- 1/4 cup butter
- 2 large eggs
- 1/4 cup granulated sugar
- 2 tablespoons all-purpose flour
- 1 tablespoon instant coffee powder
- 1/4 cup creamy peanut butter
- Butter and cocoa powder for ramekins
- Powdered sugar for dusting
### Instructions
1. Preheat oven to 425°F. Butter four 6-oz ramekins and dust with cocoa powder.
2. Melt chocolate chips and butter in microwave in 30-second intervals, stirring until smooth. Stir in coffee powder.
3. Whisk eggs and sugar until thick and pale (3 minutes). Fold in chocolate mixture, then flour.
4. Warm peanut butter slightly and place 1 tablespoon in center of each ramekin. Top with a Reese's Heart.
5. Divide chocolate batter evenly over the peanut butter and hearts.
6. Bake 12-14 minutes until edges are firm but centers jiggle slightly.
7. Let cool 2 minutes, then run knife around edges and invert onto plates.
### Tips
Serve immediately while the peanut butter center is still molten. Dust with powdered sugar and add a fresh strawberry for the perfect Valentine's presentation!</t>
  </si>
  <si>
    <t>## Spooky Reese's Pumpkin Patch Pudding
*Rich, vegan chocolate pudding swirled with peanut butter "dirt" and topped with crushed plant-based Reese's for a Halloween graveyard scene*
### Time
20 minutes (plus 2 hours chilling)
### Serving Size
Serves 4
### Ingredients
- 1 can (14 oz) full-fat coconut milk
- 1/3 cup cocoa powder
- 1/4 cup maple syrup
- 2 tbsp cornstarch
- 1/4 cup creamy peanut butter
- 4 plant-based Reese's cups, crushed
- Orange food coloring (2-3 drops)
- Vegan chocolate chips for extra richness
### Instructions
1. Whisk coconut milk, cocoa powder, maple syrup, and cornstarch in a saucepan over medium heat until thick (5-7 minutes).
2. Remove from heat and stir in chocolate chips until melted.
3. Mix peanut butter with orange food coloring in a small bowl.
4. Layer chocolate pudding in glasses, swirl in orange peanut butter "pumpkin" streaks.
5. Chill for 2 hours, then top with crushed plant-based Reese's cups.
6. Serve with spoons and watch the Halloween magic happen!
### Tips
Create "graveyard dirt" by mixing extra crushed Reese's with cocoa powder and sprinkling on top. Add plastic Halloween decorations for extra spookiness!</t>
  </si>
  <si>
    <t>## Summer Strawberry PB Bliss Tart
*A gluten-free make-ahead masterpiece that captures Reese's PB&amp;J Big Cup magic in elegant tart form*
### Time
45 minutes (plus 4 hours chilling)
### Serving Size
Serves 8
### Ingredients
- 2 cups gluten-free graham cracker crumbs
- 1/3 cup melted butter
- 1 cup creamy peanut butter
- 8 oz cream cheese, softened
- 1/2 cup powdered sugar
- 1 cup heavy cream
- 2 cups fresh strawberries, sliced
- 6 Reese's PB&amp;J Big Cup (Strawberry), chopped
- 1/4 cup strawberry jam
### Instructions
1. Mix graham cracker crumbs and melted butter. Press into 9-inch tart pan and refrigerate 30 minutes.
2. Beat peanut butter, cream cheese, and powdered sugar until smooth.
3. Whip heavy cream to soft peaks, then fold into peanut butter mixture.
4. Spread filling into chilled crust and refrigerate 3 hours.
5. Top with sliced strawberries, chopped Reese's cups, and drizzle with jam.
6. Chill 1 more hour before serving.
### Notes
Make up to 2 days ahead! Add fresh toppings just before serving for the prettiest presentation.
### Variations
Swap strawberries for peaches or raspberries, or use Reese's PB&amp;J Grape cups for a classic twist.</t>
  </si>
  <si>
    <t>## Reese's Graduation Cap Soufflé
*A towering chocolate-hazelnut soufflé topped with a "graduation cap" made from melted Reese's cups - perfect for celebrating sweet achievements!*
### Time
45 minutes
### Serving Size
Serves 4
### Ingredients
- 6 oz dark chocolate, chopped
- 4 large eggs, separated
- 1/3 cup hazelnut spread (like Nutella)
- 1/4 cup granulated sugar
- 2 tbsp butter
- 2 tbsp all-purpose flour
- 3/4 cup whole milk
- 4 regular Reese's Peanut Butter Cups
- 1 tbsp powdered sugar for dusting
### Instructions
1. Preheat oven to 375°F. Butter four 6-oz ramekins and dust with sugar.
2. Melt chocolate and butter in double boiler. Whisk in flour, then gradually add milk until smooth.
3. Remove from heat and whisk in hazelnut spread and egg yolks one at a time.
4. Beat egg whites with sugar until stiff peaks form. Gently fold into chocolate mixture.
5. Divide among ramekins, filling 3/4 full. Bake 18-20 minutes until risen and golden.
6. Meanwhile, carefully cut Reese's cups in half horizontally to create "graduation cap" tops.
7. Remove soufflés and immediately top each with a Reese's "cap." Dust with powdered sugar.
### Tips
Serve immediately while the soufflé is still puffed - the warm chocolate pairs perfectly with the cool peanut butter "graduation cap" that slowly melts on top!</t>
  </si>
  <si>
    <t>## Holiday Market Peppermint Bark Fudge
*Creamy peanut butter fudge meets cool peppermint in festive layers - like finding Reese's at a winter wonderland market*
### Time
20 minutes prep + 3 hours chilling
### Serving Size
Serves 8
### Ingredients
- 2 cups white chocolate chips
- 1 cup creamy peanut butter
- 1 can (14 oz) sweetened condensed milk
- 1/2 tsp peppermint extract
- 12 Reese's Peanut Butter Cups, chopped
- 1/2 cup crushed candy canes
- Red and green food coloring (optional)
### Instructions
1. Line an 8x8 pan with parchment paper and spray with cooking spray.
2. Melt white chocolate chips with condensed milk in microwave, stirring every 30 seconds until smooth.
3. Divide mixture in half. Stir peanut butter into one half, peppermint extract into the other.
4. Add a few drops of green coloring to peppermint layer if desired.
5. Pour peanut butter layer into pan, then gently spread peppermint layer on top.
6. Immediately sprinkle chopped Reese's cups and crushed candy canes over surface.
7. Refrigerate 3 hours until firm. Cut into squares.
### Tips
Make up to 5 days ahead - store covered in refrigerator. The flavors actually improve overnight! Arrange on festive platters with parchment paper squares for easy gifting.</t>
  </si>
  <si>
    <t>## Reese's-Style Banana Bread Bonanza
*A dairy-free twist on classic banana bread that brings together the beloved banana-peanut butter combo with chunks of Reese's magic*
### Time
1 hour 15 minutes
### Serving Size
Serves 12 (perfect for potluck sharing!)
### Ingredients
- 3 ripe bananas, mashed
- 1/3 cup melted coconut oil
- 3/4 cup brown sugar
- 1 egg
- 1 tsp vanilla extract
- 1 1/2 cups all-purpose flour
- 1 tsp baking soda
- 1/2 tsp salt
- 1/2 cup creamy peanut butter
- 1 cup chopped Reese's Peanut Butter Cups (dairy-free version or regular if tolerance allows)
- 1/4 cup unsweetened almond milk
### Instructions
1. Preheat oven to 350°F and grease a 9x5 loaf pan with coconut oil.
2. Mix mashed bananas, melted coconut oil, brown sugar, egg, and vanilla in a large bowl.
3. In separate bowl, whisk flour, baking soda, and salt.
4. Warm peanut butter slightly and swirl into banana mixture with almond milk.
5. Fold dry ingredients into wet ingredients until just combined.
6. Gently fold in chopped Reese's cups, saving a few pieces for topping.
7. Pour into prepared pan, sprinkle remaining cup pieces on top.
8. Bake 55-60 minutes until toothpick comes out with just a few moist crumbs.
9. Cool completely before slicing.
### Tips
Press extra Reese's pieces into the top before baking for that signature orange-and-brown Reese's look that'll make your potluck contribution instantly recognizable!</t>
  </si>
  <si>
    <t>## Fall S'mores Peanut Butter Bonfire Bars
*Cozy campfire vibes meet Reese's magic in these no-bake autumn treats that capture the essence of toasted marshmallows and peanut butter cups around a crackling fire*
### Time
30 minutes (including 20 minutes chilling time)
### Serving Size
Serves 4
### Ingredients
- 8 graham crackers, crushed into chunks
- 6 Reese's Peanut Butter Cups, chopped
- 1/2 cup creamy peanut butter
- 2 cups mini marshmallows
- 1/4 cup melted milk chocolate chips
- 2 tablespoons honey
- 1/4 teaspoon cinnamon
### Instructions
1. Mix crushed graham crackers, chopped Reese's cups, and cinnamon in a large bowl.
2. Warm peanut butter and honey in microwave for 30 seconds, stir until smooth.
3. Pour warm peanut butter mixture over graham cracker mixture, toss to coat.
4. Press mixture into an 8x8 pan lined with parchment paper.
5. Top with mini marshmallows and drizzle with melted chocolate.
6. Chill for 20 minutes until set, then cut into squares.
### Tips
Toast the marshmallows with a kitchen torch for authentic campfire flavor, or broil for 1-2 minutes watching carefully for golden peaks!
### Variations
Swap regular marshmallows for pumpkin spice marshmallows, or add a sprinkle of orange-colored sugar for that perfect fall Reese's aesthetic.</t>
  </si>
  <si>
    <t>## Super Bowl Reese's Ice Cream Touchdown Sandwiches
*Game-winning frozen treats that score big with chocolate and peanut butter perfection*
### Time
15 minutes (plus 2 hours freezing time)
### Serving Size
Serves 4
### Ingredients
- 8 chocolate graham crackers (or chocolate wafers)
- 1 pint vanilla ice cream, softened
- 1/2 cup creamy peanut butter
- 1 cup mini Reese's Peanut Butter Cups, chopped
- 1/4 cup chocolate chips
- 2 tablespoons orange sprinkles (for team colors!)
### Instructions
1. Mix softened ice cream with peanut butter until swirled but not fully combined
2. Fold in chopped mini Reese's cups and chocolate chips
3. Spread mixture between graham crackers to make 4 sandwiches
4. Roll edges in orange sprinkles for that classic Reese's look
5. Wrap individually in plastic wrap and freeze for 2 hours
6. Serve during halftime for maximum touchdown celebration!
### Tips
Dip the assembled sandwiches in melted chocolate and let set for an extra indulgent "helmet" coating. Perfect for sharing during the big game!
### Variations
Make mini versions using vanilla wafers for bite-sized fourth-quarter snacks, or use Reese's Pieces instead of chopped cups for extra crunch.</t>
  </si>
  <si>
    <t>## Easter Bunny Coconut PB Cake Pops
*Adorable bite-sized treats that capture the magic of Reese's Easter eggs with tropical coconut twist and reduced sugar sweetness*
### Time
1 hour
### Serving Size
Makes 20 cake pops
### Ingredients
- 1 box sugar-free vanilla cake mix (plus ingredients called for on box)
- 1/2 cup natural peanut butter (no added sugar)
- 1/4 cup unsweetened shredded coconut
- 4 oz sugar-free white chocolate chips
- 2 tbsp coconut oil
- 20 cake pop sticks
- 6 mini Reese's Peanut Butter Eggs, chopped
- Orange food coloring (optional)
### Instructions
1. Bake cake according to package directions, let cool completely.
2. Crumble cake into fine crumbs, mix with peanut butter, coconut, and chopped Reese's eggs.
3. Roll mixture into 20 egg-shaped balls, chill 15 minutes.
4. Melt white chocolate with coconut oil in microwave, stirring every 30 seconds.
5. Dip each stick 1/2 inch into chocolate, insert into cake ball.
6. Dip entire pop into chocolate, tap off excess, place in styrofoam to set.
7. Drizzle with orange-tinted chocolate for Easter egg stripes.
### Tips
Roll cake pops in extra shredded coconut while chocolate is still wet for a "fuzzy bunny" texture that mimics the Reester Bunny's appeal!
### Variations
Make mini versions using a melon baller for bite-sized Easter treats, or use sugar-free dark chocolate for a richer Reese's cup flavor.</t>
  </si>
  <si>
    <t>## Peanut Butter Cookie Dough Whoopie Pies
*Soft, pillowy cookies filled with edible peanut butter cookie dough cream - like biting into a Reese's-inspired cloud!*
### Time
20 minutes
### Serving Size
Serves 4 (makes 8 small whoopie pies)
### Ingredients
- 1 box chocolate cake mix
- 1/3 cup vegetable oil
- 2 large eggs
- 1/2 cup creamy peanut butter
- 4 oz cream cheese, softened
- 1/4 cup powdered sugar
- 2 tablespoons flour
- 1/4 cup mini chocolate chips
- 1/2 cup chopped Reese's Miniatures
### Instructions
1. Preheat oven to 375°F. Mix cake mix, oil, and eggs until just combined.
2. Drop 16 small spoonfuls of batter onto parchment-lined baking sheets.
3. Bake 8-10 minutes until edges are set. Cool completely.
4. Beat peanut butter, cream cheese, and powdered sugar until fluffy.
5. Mix in flour, chocolate chips, and chopped Reese's Miniatures.
6. Sandwich cookie dough filling between cooled cookies.
7. Press gently and serve immediately.
### Tips
Roll the edges in extra mini chocolate chips for a fun, colorful border that screams Reese's!
### Variations
Make them mini by using a cookie scoop for bite-sized treats perfect for little hands.</t>
  </si>
  <si>
    <t>## Game Day Crunch Bars
*Salty-sweet cereal treats that capture the winning combo spirit of Reese's without the peanuts*
### Time
10 minutes
### Serving Size
Serves 4
### Ingredients
- 3 cups Reese's Puffs cereal
- 2 cups mini marshmallows
- 3 tablespoons butter
- 1/2 cup crushed pretzels
- 1/4 cup mini chocolate chips
- 1/4 teaspoon sea salt
### Instructions
1. Melt butter and marshmallows in microwave for 90 seconds, stirring halfway through.
2. Mix in Reese's Puffs cereal and crushed pretzels until evenly coated.
3. Press mixture into greased 8x8 pan using wax paper.
4. Sprinkle chocolate chips and sea salt on top, pressing gently.
5. Let cool for 5 minutes, then cut into bars.
### Tips
Serve in team-colored napkins and cut into football shapes using cookie cutters for extra game day fun! The orange and brown colors naturally match your team spirit.
### Variations
Swap pretzels for crushed potato chips for extra crunch, or add caramel drizzle for a sweet finish.</t>
  </si>
  <si>
    <t>Uses 'perfect' too much.</t>
  </si>
  <si>
    <t>answer - round 2</t>
  </si>
  <si>
    <t>Open coding - round 2</t>
  </si>
  <si>
    <t>Too many ingredients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</si>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</sst>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right" vertical="top"/>
    </xf>
    <xf numFmtId="0" fontId="3" fillId="0" borderId="0" xfId="0" applyFont="1" applyAlignment="1">
      <alignment horizontal="center" vertical="top"/>
    </xf>
    <xf numFmtId="0" fontId="1" fillId="0" borderId="0" xfId="0" applyFont="1" applyBorder="1" applyAlignment="1">
      <alignment horizontal="center" vertical="top"/>
    </xf>
    <xf numFmtId="0" fontId="3"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
  <sheetViews>
    <sheetView tabSelected="1" topLeftCell="D1" zoomScale="85" zoomScaleNormal="85" workbookViewId="0">
      <pane ySplit="2" topLeftCell="A39" activePane="bottomLeft" state="frozen"/>
      <selection activeCell="C1" sqref="C1"/>
      <selection pane="bottomLeft" activeCell="R53" sqref="R53"/>
    </sheetView>
  </sheetViews>
  <sheetFormatPr defaultRowHeight="14.4" x14ac:dyDescent="0.55000000000000004"/>
  <cols>
    <col min="1" max="1" width="8.83984375" style="2"/>
    <col min="2" max="2" width="40.89453125" style="2" customWidth="1"/>
    <col min="3" max="3" width="30.5234375" style="2" customWidth="1"/>
    <col min="4" max="4" width="20.62890625" style="2" customWidth="1"/>
    <col min="5" max="5" width="8.3671875" customWidth="1"/>
    <col min="6" max="6" width="8.83984375" style="2"/>
    <col min="7" max="7" width="10.62890625" style="2" customWidth="1"/>
    <col min="8" max="8" width="11.83984375" style="2" customWidth="1"/>
    <col min="9" max="9" width="10.578125" style="2" customWidth="1"/>
    <col min="10" max="10" width="8.83984375" style="2"/>
    <col min="11" max="11" width="11.1015625" style="2" customWidth="1"/>
    <col min="12" max="12" width="28.578125" customWidth="1"/>
    <col min="13" max="13" width="26.1015625" customWidth="1"/>
    <col min="14" max="17" width="8.83984375" style="2"/>
    <col min="18" max="18" width="10.68359375" style="2" customWidth="1"/>
    <col min="19" max="16384" width="8.83984375" style="2"/>
  </cols>
  <sheetData>
    <row r="1" spans="1:20" x14ac:dyDescent="0.55000000000000004">
      <c r="E1" t="s">
        <v>133</v>
      </c>
      <c r="F1" s="2" t="s">
        <v>133</v>
      </c>
      <c r="G1" s="2" t="s">
        <v>133</v>
      </c>
      <c r="H1" s="2" t="s">
        <v>136</v>
      </c>
      <c r="I1" s="2" t="s">
        <v>136</v>
      </c>
      <c r="L1" s="3"/>
      <c r="M1" s="9"/>
      <c r="N1" t="s">
        <v>133</v>
      </c>
      <c r="O1" s="2" t="s">
        <v>133</v>
      </c>
      <c r="P1" s="2" t="s">
        <v>133</v>
      </c>
      <c r="Q1" s="2" t="s">
        <v>136</v>
      </c>
      <c r="R1" s="2" t="s">
        <v>136</v>
      </c>
    </row>
    <row r="2" spans="1:20" s="6" customFormat="1" ht="100.8" x14ac:dyDescent="0.55000000000000004">
      <c r="A2" s="3" t="s">
        <v>0</v>
      </c>
      <c r="B2" s="3" t="s">
        <v>1</v>
      </c>
      <c r="C2" s="3" t="s">
        <v>144</v>
      </c>
      <c r="D2" s="4" t="s">
        <v>110</v>
      </c>
      <c r="E2" s="5" t="s">
        <v>132</v>
      </c>
      <c r="F2" s="5" t="s">
        <v>134</v>
      </c>
      <c r="G2" s="5" t="s">
        <v>135</v>
      </c>
      <c r="H2" s="5" t="s">
        <v>131</v>
      </c>
      <c r="I2" s="10" t="s">
        <v>198</v>
      </c>
      <c r="J2" s="5" t="s">
        <v>126</v>
      </c>
      <c r="K2" s="5" t="s">
        <v>137</v>
      </c>
      <c r="L2" s="8" t="s">
        <v>196</v>
      </c>
      <c r="M2" s="8" t="s">
        <v>197</v>
      </c>
      <c r="N2" s="5" t="s">
        <v>132</v>
      </c>
      <c r="O2" s="5" t="s">
        <v>134</v>
      </c>
      <c r="P2" s="5" t="s">
        <v>135</v>
      </c>
      <c r="Q2" s="5" t="s">
        <v>131</v>
      </c>
      <c r="R2" s="10" t="s">
        <v>198</v>
      </c>
      <c r="S2" s="5" t="s">
        <v>126</v>
      </c>
      <c r="T2" s="5" t="s">
        <v>137</v>
      </c>
    </row>
    <row r="3" spans="1:20" x14ac:dyDescent="0.55000000000000004">
      <c r="A3" s="2">
        <v>1</v>
      </c>
      <c r="B3" s="2" t="s">
        <v>2</v>
      </c>
      <c r="C3" s="2" t="s">
        <v>3</v>
      </c>
      <c r="D3" s="2" t="s">
        <v>102</v>
      </c>
      <c r="L3" t="s">
        <v>145</v>
      </c>
      <c r="M3" t="s">
        <v>102</v>
      </c>
    </row>
    <row r="4" spans="1:20" x14ac:dyDescent="0.55000000000000004">
      <c r="A4" s="2">
        <v>2</v>
      </c>
      <c r="B4" s="2" t="s">
        <v>4</v>
      </c>
      <c r="C4" s="2" t="s">
        <v>5</v>
      </c>
      <c r="D4" s="2" t="s">
        <v>102</v>
      </c>
      <c r="L4" t="s">
        <v>146</v>
      </c>
      <c r="M4" t="s">
        <v>102</v>
      </c>
    </row>
    <row r="5" spans="1:20" x14ac:dyDescent="0.55000000000000004">
      <c r="A5" s="2">
        <v>3</v>
      </c>
      <c r="B5" s="2" t="s">
        <v>6</v>
      </c>
      <c r="C5" s="2" t="s">
        <v>7</v>
      </c>
      <c r="D5" s="2" t="s">
        <v>102</v>
      </c>
      <c r="L5" t="s">
        <v>147</v>
      </c>
      <c r="M5" t="s">
        <v>102</v>
      </c>
    </row>
    <row r="6" spans="1:20" x14ac:dyDescent="0.55000000000000004">
      <c r="A6" s="2">
        <v>4</v>
      </c>
      <c r="B6" s="2" t="s">
        <v>8</v>
      </c>
      <c r="C6" s="2" t="s">
        <v>9</v>
      </c>
      <c r="D6" s="2" t="s">
        <v>102</v>
      </c>
      <c r="L6" t="s">
        <v>148</v>
      </c>
      <c r="M6" t="s">
        <v>102</v>
      </c>
    </row>
    <row r="7" spans="1:20" x14ac:dyDescent="0.55000000000000004">
      <c r="A7" s="2">
        <v>5</v>
      </c>
      <c r="B7" s="2" t="s">
        <v>10</v>
      </c>
      <c r="C7" s="2" t="s">
        <v>11</v>
      </c>
      <c r="D7" s="2" t="s">
        <v>102</v>
      </c>
      <c r="L7" t="s">
        <v>149</v>
      </c>
      <c r="M7" t="s">
        <v>102</v>
      </c>
    </row>
    <row r="8" spans="1:20" x14ac:dyDescent="0.55000000000000004">
      <c r="A8" s="2">
        <v>6</v>
      </c>
      <c r="B8" s="2" t="s">
        <v>12</v>
      </c>
      <c r="C8" s="2" t="s">
        <v>13</v>
      </c>
      <c r="D8" s="2" t="s">
        <v>102</v>
      </c>
      <c r="L8" t="s">
        <v>150</v>
      </c>
      <c r="M8" t="s">
        <v>102</v>
      </c>
    </row>
    <row r="9" spans="1:20" x14ac:dyDescent="0.55000000000000004">
      <c r="A9" s="2">
        <v>7</v>
      </c>
      <c r="B9" s="2" t="s">
        <v>14</v>
      </c>
      <c r="C9" s="2" t="s">
        <v>15</v>
      </c>
      <c r="D9" s="2" t="s">
        <v>102</v>
      </c>
      <c r="L9" t="s">
        <v>151</v>
      </c>
      <c r="M9" t="s">
        <v>102</v>
      </c>
    </row>
    <row r="10" spans="1:20" x14ac:dyDescent="0.55000000000000004">
      <c r="A10" s="2">
        <v>8</v>
      </c>
      <c r="B10" s="2" t="s">
        <v>16</v>
      </c>
      <c r="C10" s="2" t="s">
        <v>17</v>
      </c>
      <c r="D10" s="2" t="s">
        <v>102</v>
      </c>
      <c r="L10" t="s">
        <v>152</v>
      </c>
      <c r="M10" t="s">
        <v>102</v>
      </c>
    </row>
    <row r="11" spans="1:20" x14ac:dyDescent="0.55000000000000004">
      <c r="A11" s="2">
        <v>9</v>
      </c>
      <c r="B11" s="2" t="s">
        <v>18</v>
      </c>
      <c r="C11" s="2" t="s">
        <v>19</v>
      </c>
      <c r="D11" s="2" t="s">
        <v>102</v>
      </c>
      <c r="L11" t="s">
        <v>153</v>
      </c>
      <c r="M11" t="s">
        <v>102</v>
      </c>
    </row>
    <row r="12" spans="1:20" x14ac:dyDescent="0.55000000000000004">
      <c r="A12" s="2">
        <v>10</v>
      </c>
      <c r="B12" s="2" t="s">
        <v>20</v>
      </c>
      <c r="C12" s="2" t="s">
        <v>21</v>
      </c>
      <c r="D12" s="2" t="s">
        <v>102</v>
      </c>
      <c r="L12" t="s">
        <v>154</v>
      </c>
      <c r="M12" t="s">
        <v>102</v>
      </c>
    </row>
    <row r="13" spans="1:20" x14ac:dyDescent="0.55000000000000004">
      <c r="A13" s="2">
        <v>11</v>
      </c>
      <c r="B13" s="2" t="s">
        <v>22</v>
      </c>
      <c r="C13" s="2" t="s">
        <v>23</v>
      </c>
      <c r="D13" s="2" t="s">
        <v>102</v>
      </c>
      <c r="L13" t="s">
        <v>155</v>
      </c>
      <c r="M13" t="s">
        <v>102</v>
      </c>
    </row>
    <row r="14" spans="1:20" x14ac:dyDescent="0.55000000000000004">
      <c r="A14" s="2">
        <v>12</v>
      </c>
      <c r="B14" s="2" t="s">
        <v>24</v>
      </c>
      <c r="C14" s="2" t="s">
        <v>25</v>
      </c>
      <c r="D14" s="2" t="s">
        <v>102</v>
      </c>
      <c r="L14" t="s">
        <v>156</v>
      </c>
      <c r="M14" t="s">
        <v>102</v>
      </c>
    </row>
    <row r="15" spans="1:20" x14ac:dyDescent="0.55000000000000004">
      <c r="A15" s="2">
        <v>13</v>
      </c>
      <c r="B15" s="2" t="s">
        <v>26</v>
      </c>
      <c r="C15" s="2" t="s">
        <v>27</v>
      </c>
      <c r="D15" s="2" t="s">
        <v>102</v>
      </c>
      <c r="L15" t="s">
        <v>157</v>
      </c>
      <c r="M15" t="s">
        <v>102</v>
      </c>
    </row>
    <row r="16" spans="1:20" x14ac:dyDescent="0.55000000000000004">
      <c r="A16" s="2">
        <v>14</v>
      </c>
      <c r="B16" s="2" t="s">
        <v>28</v>
      </c>
      <c r="C16" s="2" t="s">
        <v>29</v>
      </c>
      <c r="D16" s="2" t="s">
        <v>102</v>
      </c>
      <c r="L16" t="s">
        <v>158</v>
      </c>
      <c r="M16" t="s">
        <v>102</v>
      </c>
    </row>
    <row r="17" spans="1:20" x14ac:dyDescent="0.55000000000000004">
      <c r="A17" s="2">
        <v>15</v>
      </c>
      <c r="B17" s="2" t="s">
        <v>30</v>
      </c>
      <c r="C17" s="2" t="s">
        <v>31</v>
      </c>
      <c r="D17" s="2" t="s">
        <v>103</v>
      </c>
      <c r="E17" s="2" t="b">
        <v>1</v>
      </c>
      <c r="L17" t="s">
        <v>159</v>
      </c>
      <c r="M17" t="s">
        <v>102</v>
      </c>
      <c r="N17" s="2" t="b">
        <v>0</v>
      </c>
      <c r="O17" s="2" t="b">
        <v>0</v>
      </c>
      <c r="P17" s="2" t="b">
        <v>0</v>
      </c>
      <c r="R17" s="2" t="b">
        <v>1</v>
      </c>
      <c r="S17" s="2" t="b">
        <v>0</v>
      </c>
      <c r="T17" s="2" t="b">
        <v>0</v>
      </c>
    </row>
    <row r="18" spans="1:20" x14ac:dyDescent="0.55000000000000004">
      <c r="A18" s="2">
        <v>16</v>
      </c>
      <c r="B18" s="2" t="s">
        <v>32</v>
      </c>
      <c r="C18" s="2" t="s">
        <v>33</v>
      </c>
      <c r="D18" s="2" t="s">
        <v>104</v>
      </c>
      <c r="E18" s="2" t="b">
        <v>1</v>
      </c>
      <c r="F18" s="2" t="b">
        <v>1</v>
      </c>
      <c r="L18" t="s">
        <v>160</v>
      </c>
      <c r="M18" t="s">
        <v>195</v>
      </c>
      <c r="N18" s="2" t="b">
        <v>0</v>
      </c>
      <c r="O18" s="2" t="b">
        <v>0</v>
      </c>
      <c r="P18" s="2" t="b">
        <v>0</v>
      </c>
      <c r="R18" s="2" t="b">
        <v>0</v>
      </c>
      <c r="S18" s="2" t="s">
        <v>199</v>
      </c>
      <c r="T18" s="2" t="b">
        <v>0</v>
      </c>
    </row>
    <row r="19" spans="1:20" x14ac:dyDescent="0.55000000000000004">
      <c r="A19" s="2">
        <v>17</v>
      </c>
      <c r="B19" s="2" t="s">
        <v>34</v>
      </c>
      <c r="C19" s="2" t="s">
        <v>35</v>
      </c>
      <c r="D19" s="2" t="s">
        <v>103</v>
      </c>
      <c r="E19" s="2" t="b">
        <v>1</v>
      </c>
      <c r="L19" t="s">
        <v>161</v>
      </c>
      <c r="M19" t="s">
        <v>195</v>
      </c>
      <c r="N19" s="2" t="b">
        <v>0</v>
      </c>
      <c r="O19" s="2" t="b">
        <v>0</v>
      </c>
      <c r="P19" s="2" t="b">
        <v>0</v>
      </c>
      <c r="R19" s="2" t="b">
        <v>1</v>
      </c>
      <c r="S19" s="2" t="b">
        <v>1</v>
      </c>
      <c r="T19" s="2" t="b">
        <v>0</v>
      </c>
    </row>
    <row r="20" spans="1:20" x14ac:dyDescent="0.55000000000000004">
      <c r="A20" s="2">
        <v>18</v>
      </c>
      <c r="B20" s="2" t="s">
        <v>36</v>
      </c>
      <c r="C20" s="2" t="s">
        <v>37</v>
      </c>
      <c r="D20" s="2" t="s">
        <v>105</v>
      </c>
      <c r="G20" s="2" t="b">
        <v>1</v>
      </c>
      <c r="L20" t="s">
        <v>162</v>
      </c>
      <c r="M20" t="s">
        <v>102</v>
      </c>
      <c r="N20" s="2" t="b">
        <v>0</v>
      </c>
      <c r="O20" s="2" t="b">
        <v>0</v>
      </c>
      <c r="P20" s="2" t="b">
        <v>0</v>
      </c>
      <c r="R20" s="2" t="b">
        <v>1</v>
      </c>
      <c r="S20" s="2" t="b">
        <v>0</v>
      </c>
      <c r="T20" s="2" t="b">
        <v>0</v>
      </c>
    </row>
    <row r="21" spans="1:20" x14ac:dyDescent="0.55000000000000004">
      <c r="A21" s="2">
        <v>19</v>
      </c>
      <c r="B21" s="2" t="s">
        <v>38</v>
      </c>
      <c r="C21" s="2" t="s">
        <v>39</v>
      </c>
      <c r="D21" s="2" t="s">
        <v>106</v>
      </c>
      <c r="E21" s="2" t="s">
        <v>102</v>
      </c>
      <c r="G21" s="2" t="b">
        <v>1</v>
      </c>
      <c r="H21" s="2" t="b">
        <v>1</v>
      </c>
      <c r="L21" t="s">
        <v>163</v>
      </c>
      <c r="M21" t="s">
        <v>195</v>
      </c>
      <c r="N21" s="2" t="b">
        <v>0</v>
      </c>
      <c r="O21" s="2" t="b">
        <v>0</v>
      </c>
      <c r="P21" s="2" t="b">
        <v>0</v>
      </c>
      <c r="R21" s="2" t="b">
        <v>0</v>
      </c>
      <c r="S21" s="2" t="b">
        <v>0</v>
      </c>
      <c r="T21" s="2" t="b">
        <v>0</v>
      </c>
    </row>
    <row r="22" spans="1:20" x14ac:dyDescent="0.55000000000000004">
      <c r="A22" s="2">
        <v>20</v>
      </c>
      <c r="B22" s="2" t="s">
        <v>40</v>
      </c>
      <c r="C22" s="2" t="s">
        <v>41</v>
      </c>
      <c r="D22" s="2" t="s">
        <v>102</v>
      </c>
      <c r="L22" t="s">
        <v>164</v>
      </c>
      <c r="M22" t="s">
        <v>102</v>
      </c>
    </row>
    <row r="23" spans="1:20" x14ac:dyDescent="0.55000000000000004">
      <c r="A23" s="2">
        <v>21</v>
      </c>
      <c r="B23" s="2" t="s">
        <v>42</v>
      </c>
      <c r="C23" s="2" t="s">
        <v>43</v>
      </c>
      <c r="D23" s="2" t="s">
        <v>102</v>
      </c>
      <c r="L23" t="s">
        <v>165</v>
      </c>
      <c r="M23" t="s">
        <v>102</v>
      </c>
    </row>
    <row r="24" spans="1:20" x14ac:dyDescent="0.55000000000000004">
      <c r="A24" s="2">
        <v>22</v>
      </c>
      <c r="B24" s="2" t="s">
        <v>44</v>
      </c>
      <c r="C24" s="2" t="s">
        <v>45</v>
      </c>
      <c r="D24" s="2" t="s">
        <v>102</v>
      </c>
      <c r="L24" t="s">
        <v>166</v>
      </c>
      <c r="M24" t="s">
        <v>102</v>
      </c>
    </row>
    <row r="25" spans="1:20" x14ac:dyDescent="0.55000000000000004">
      <c r="A25" s="2">
        <v>23</v>
      </c>
      <c r="B25" s="2" t="s">
        <v>46</v>
      </c>
      <c r="C25" s="2" t="s">
        <v>47</v>
      </c>
      <c r="D25" s="2" t="s">
        <v>102</v>
      </c>
      <c r="L25" t="s">
        <v>167</v>
      </c>
      <c r="M25" t="s">
        <v>102</v>
      </c>
    </row>
    <row r="26" spans="1:20" x14ac:dyDescent="0.55000000000000004">
      <c r="A26" s="2">
        <v>24</v>
      </c>
      <c r="B26" s="2" t="s">
        <v>48</v>
      </c>
      <c r="C26" s="2" t="s">
        <v>49</v>
      </c>
      <c r="D26" s="2" t="s">
        <v>107</v>
      </c>
      <c r="E26" s="2" t="s">
        <v>102</v>
      </c>
      <c r="G26" s="2" t="b">
        <v>1</v>
      </c>
      <c r="I26" s="2" t="b">
        <v>1</v>
      </c>
      <c r="L26" t="s">
        <v>168</v>
      </c>
      <c r="M26" t="s">
        <v>102</v>
      </c>
      <c r="N26" s="2" t="b">
        <v>0</v>
      </c>
      <c r="O26" s="2" t="b">
        <v>0</v>
      </c>
      <c r="P26" s="2" t="b">
        <v>0</v>
      </c>
      <c r="R26" s="2" t="b">
        <v>0</v>
      </c>
      <c r="S26" s="2" t="b">
        <v>1</v>
      </c>
      <c r="T26" s="2" t="b">
        <v>0</v>
      </c>
    </row>
    <row r="27" spans="1:20" x14ac:dyDescent="0.55000000000000004">
      <c r="A27" s="2">
        <v>25</v>
      </c>
      <c r="B27" s="2" t="s">
        <v>50</v>
      </c>
      <c r="C27" s="2" t="s">
        <v>51</v>
      </c>
      <c r="D27" s="2" t="s">
        <v>108</v>
      </c>
      <c r="E27" s="2" t="s">
        <v>102</v>
      </c>
      <c r="H27" s="2" t="b">
        <v>1</v>
      </c>
      <c r="J27" s="2" t="b">
        <v>1</v>
      </c>
      <c r="L27" t="s">
        <v>169</v>
      </c>
      <c r="M27" t="s">
        <v>102</v>
      </c>
      <c r="N27" s="2" t="b">
        <v>0</v>
      </c>
      <c r="O27" s="2" t="b">
        <v>0</v>
      </c>
      <c r="P27" s="2" t="b">
        <v>0</v>
      </c>
      <c r="R27" s="2" t="b">
        <v>1</v>
      </c>
      <c r="S27" s="2" t="s">
        <v>199</v>
      </c>
      <c r="T27" s="2" t="b">
        <v>0</v>
      </c>
    </row>
    <row r="28" spans="1:20" x14ac:dyDescent="0.55000000000000004">
      <c r="A28" s="2">
        <v>26</v>
      </c>
      <c r="B28" s="2" t="s">
        <v>52</v>
      </c>
      <c r="C28" s="2" t="s">
        <v>53</v>
      </c>
      <c r="D28" s="2" t="s">
        <v>102</v>
      </c>
      <c r="L28" t="s">
        <v>170</v>
      </c>
      <c r="M28" t="s">
        <v>102</v>
      </c>
    </row>
    <row r="29" spans="1:20" x14ac:dyDescent="0.55000000000000004">
      <c r="A29" s="2">
        <v>27</v>
      </c>
      <c r="B29" s="2" t="s">
        <v>54</v>
      </c>
      <c r="C29" s="2" t="s">
        <v>55</v>
      </c>
      <c r="D29" s="2" t="s">
        <v>109</v>
      </c>
      <c r="E29" t="s">
        <v>102</v>
      </c>
      <c r="H29" s="2" t="b">
        <v>1</v>
      </c>
      <c r="L29" t="s">
        <v>171</v>
      </c>
      <c r="M29" t="s">
        <v>102</v>
      </c>
      <c r="N29" s="2" t="b">
        <v>0</v>
      </c>
      <c r="O29" s="2" t="b">
        <v>0</v>
      </c>
      <c r="P29" s="2" t="b">
        <v>0</v>
      </c>
      <c r="R29" s="2" t="b">
        <v>1</v>
      </c>
      <c r="S29" s="2" t="b">
        <v>0</v>
      </c>
      <c r="T29" s="2" t="b">
        <v>0</v>
      </c>
    </row>
    <row r="30" spans="1:20" x14ac:dyDescent="0.55000000000000004">
      <c r="A30" s="2">
        <v>28</v>
      </c>
      <c r="B30" s="2" t="s">
        <v>56</v>
      </c>
      <c r="C30" s="2" t="s">
        <v>57</v>
      </c>
      <c r="D30" s="2" t="s">
        <v>102</v>
      </c>
      <c r="L30" t="s">
        <v>172</v>
      </c>
      <c r="M30" t="s">
        <v>102</v>
      </c>
    </row>
    <row r="31" spans="1:20" x14ac:dyDescent="0.55000000000000004">
      <c r="A31" s="2">
        <v>29</v>
      </c>
      <c r="B31" s="2" t="s">
        <v>58</v>
      </c>
      <c r="C31" s="2" t="s">
        <v>59</v>
      </c>
      <c r="D31" s="2" t="s">
        <v>102</v>
      </c>
      <c r="L31" t="s">
        <v>173</v>
      </c>
      <c r="M31" t="s">
        <v>102</v>
      </c>
    </row>
    <row r="32" spans="1:20" x14ac:dyDescent="0.55000000000000004">
      <c r="A32" s="2">
        <v>30</v>
      </c>
      <c r="B32" s="2" t="s">
        <v>60</v>
      </c>
      <c r="C32" s="2" t="s">
        <v>61</v>
      </c>
      <c r="D32" s="2" t="s">
        <v>102</v>
      </c>
      <c r="L32" t="s">
        <v>174</v>
      </c>
      <c r="M32" t="s">
        <v>102</v>
      </c>
    </row>
    <row r="33" spans="1:20" x14ac:dyDescent="0.55000000000000004">
      <c r="A33" s="2">
        <v>31</v>
      </c>
      <c r="B33" s="2" t="s">
        <v>62</v>
      </c>
      <c r="C33" s="2" t="s">
        <v>63</v>
      </c>
      <c r="D33" s="2" t="s">
        <v>102</v>
      </c>
      <c r="L33" t="s">
        <v>175</v>
      </c>
      <c r="M33" t="s">
        <v>102</v>
      </c>
    </row>
    <row r="34" spans="1:20" x14ac:dyDescent="0.55000000000000004">
      <c r="A34" s="2">
        <v>32</v>
      </c>
      <c r="B34" s="2" t="s">
        <v>64</v>
      </c>
      <c r="C34" s="2" t="s">
        <v>65</v>
      </c>
      <c r="D34" s="2" t="s">
        <v>102</v>
      </c>
      <c r="L34" t="s">
        <v>176</v>
      </c>
      <c r="M34" t="s">
        <v>102</v>
      </c>
    </row>
    <row r="35" spans="1:20" x14ac:dyDescent="0.55000000000000004">
      <c r="A35" s="2">
        <v>33</v>
      </c>
      <c r="B35" s="2" t="s">
        <v>66</v>
      </c>
      <c r="C35" s="2" t="s">
        <v>67</v>
      </c>
      <c r="D35" s="2" t="s">
        <v>102</v>
      </c>
      <c r="L35" t="s">
        <v>177</v>
      </c>
      <c r="M35" t="s">
        <v>102</v>
      </c>
    </row>
    <row r="36" spans="1:20" x14ac:dyDescent="0.55000000000000004">
      <c r="A36" s="2">
        <v>34</v>
      </c>
      <c r="B36" s="2" t="s">
        <v>68</v>
      </c>
      <c r="C36" s="2" t="s">
        <v>69</v>
      </c>
      <c r="D36" s="2" t="s">
        <v>102</v>
      </c>
      <c r="L36" t="s">
        <v>178</v>
      </c>
      <c r="M36" t="s">
        <v>102</v>
      </c>
    </row>
    <row r="37" spans="1:20" x14ac:dyDescent="0.55000000000000004">
      <c r="A37" s="2">
        <v>35</v>
      </c>
      <c r="B37" s="2" t="s">
        <v>70</v>
      </c>
      <c r="C37" s="2" t="s">
        <v>71</v>
      </c>
      <c r="D37" s="2" t="s">
        <v>102</v>
      </c>
      <c r="L37" t="s">
        <v>179</v>
      </c>
      <c r="M37" t="s">
        <v>102</v>
      </c>
    </row>
    <row r="38" spans="1:20" x14ac:dyDescent="0.55000000000000004">
      <c r="A38" s="2">
        <v>36</v>
      </c>
      <c r="B38" s="2" t="s">
        <v>72</v>
      </c>
      <c r="C38" s="2" t="s">
        <v>73</v>
      </c>
      <c r="D38" s="2" t="s">
        <v>102</v>
      </c>
      <c r="L38" t="s">
        <v>180</v>
      </c>
      <c r="M38" t="s">
        <v>102</v>
      </c>
    </row>
    <row r="39" spans="1:20" x14ac:dyDescent="0.55000000000000004">
      <c r="A39" s="2">
        <v>37</v>
      </c>
      <c r="B39" s="2" t="s">
        <v>74</v>
      </c>
      <c r="C39" s="2" t="s">
        <v>75</v>
      </c>
      <c r="D39" s="2" t="s">
        <v>102</v>
      </c>
      <c r="L39" t="s">
        <v>181</v>
      </c>
      <c r="M39" t="s">
        <v>102</v>
      </c>
    </row>
    <row r="40" spans="1:20" x14ac:dyDescent="0.55000000000000004">
      <c r="A40" s="2">
        <v>38</v>
      </c>
      <c r="B40" s="2" t="s">
        <v>76</v>
      </c>
      <c r="C40" s="2" t="s">
        <v>77</v>
      </c>
      <c r="D40" s="2" t="s">
        <v>102</v>
      </c>
      <c r="L40" t="s">
        <v>182</v>
      </c>
      <c r="M40" t="s">
        <v>102</v>
      </c>
    </row>
    <row r="41" spans="1:20" x14ac:dyDescent="0.55000000000000004">
      <c r="A41" s="2">
        <v>39</v>
      </c>
      <c r="B41" s="2" t="s">
        <v>78</v>
      </c>
      <c r="C41" s="2" t="s">
        <v>79</v>
      </c>
      <c r="D41" s="2" t="s">
        <v>102</v>
      </c>
      <c r="L41" t="s">
        <v>183</v>
      </c>
      <c r="M41" t="s">
        <v>102</v>
      </c>
    </row>
    <row r="42" spans="1:20" x14ac:dyDescent="0.55000000000000004">
      <c r="A42" s="2">
        <v>40</v>
      </c>
      <c r="B42" s="2" t="s">
        <v>80</v>
      </c>
      <c r="C42" s="2" t="s">
        <v>81</v>
      </c>
      <c r="D42" s="2" t="s">
        <v>102</v>
      </c>
      <c r="L42" t="s">
        <v>184</v>
      </c>
      <c r="M42" t="s">
        <v>102</v>
      </c>
    </row>
    <row r="43" spans="1:20" x14ac:dyDescent="0.55000000000000004">
      <c r="A43" s="2">
        <v>41</v>
      </c>
      <c r="B43" s="2" t="s">
        <v>82</v>
      </c>
      <c r="C43" s="2" t="s">
        <v>83</v>
      </c>
      <c r="D43" s="2" t="s">
        <v>102</v>
      </c>
      <c r="L43" t="s">
        <v>185</v>
      </c>
      <c r="M43" t="s">
        <v>102</v>
      </c>
    </row>
    <row r="44" spans="1:20" x14ac:dyDescent="0.55000000000000004">
      <c r="A44" s="2">
        <v>42</v>
      </c>
      <c r="B44" s="2" t="s">
        <v>84</v>
      </c>
      <c r="C44" s="2" t="s">
        <v>85</v>
      </c>
      <c r="D44" s="2" t="s">
        <v>102</v>
      </c>
      <c r="L44" t="s">
        <v>186</v>
      </c>
      <c r="M44" t="s">
        <v>102</v>
      </c>
    </row>
    <row r="45" spans="1:20" x14ac:dyDescent="0.55000000000000004">
      <c r="A45" s="2">
        <v>43</v>
      </c>
      <c r="B45" s="2" t="s">
        <v>86</v>
      </c>
      <c r="C45" s="2" t="s">
        <v>87</v>
      </c>
      <c r="D45" s="2" t="s">
        <v>112</v>
      </c>
      <c r="E45" s="2" t="b">
        <v>1</v>
      </c>
      <c r="J45" s="2" t="b">
        <v>1</v>
      </c>
      <c r="L45" t="s">
        <v>187</v>
      </c>
      <c r="M45" t="s">
        <v>195</v>
      </c>
      <c r="N45" s="2" t="b">
        <v>0</v>
      </c>
      <c r="O45" s="2" t="b">
        <v>0</v>
      </c>
      <c r="P45" s="2" t="b">
        <v>0</v>
      </c>
      <c r="R45" s="2" t="b">
        <v>0</v>
      </c>
      <c r="S45" s="2" t="b">
        <v>1</v>
      </c>
      <c r="T45" s="2" t="b">
        <v>0</v>
      </c>
    </row>
    <row r="46" spans="1:20" x14ac:dyDescent="0.55000000000000004">
      <c r="A46" s="2">
        <v>44</v>
      </c>
      <c r="B46" s="2" t="s">
        <v>88</v>
      </c>
      <c r="C46" s="2" t="s">
        <v>89</v>
      </c>
      <c r="D46" s="2" t="s">
        <v>102</v>
      </c>
      <c r="L46" t="s">
        <v>188</v>
      </c>
      <c r="M46" t="s">
        <v>102</v>
      </c>
    </row>
    <row r="47" spans="1:20" x14ac:dyDescent="0.55000000000000004">
      <c r="A47" s="2">
        <v>45</v>
      </c>
      <c r="B47" s="2" t="s">
        <v>90</v>
      </c>
      <c r="C47" s="2" t="s">
        <v>91</v>
      </c>
      <c r="D47" s="2" t="s">
        <v>102</v>
      </c>
      <c r="L47" t="s">
        <v>189</v>
      </c>
      <c r="M47" t="s">
        <v>102</v>
      </c>
    </row>
    <row r="48" spans="1:20" x14ac:dyDescent="0.55000000000000004">
      <c r="A48" s="2">
        <v>46</v>
      </c>
      <c r="B48" s="2" t="s">
        <v>92</v>
      </c>
      <c r="C48" s="2" t="s">
        <v>93</v>
      </c>
      <c r="D48" s="2" t="s">
        <v>102</v>
      </c>
      <c r="L48" t="s">
        <v>190</v>
      </c>
      <c r="M48" t="s">
        <v>102</v>
      </c>
    </row>
    <row r="49" spans="1:20" x14ac:dyDescent="0.55000000000000004">
      <c r="A49" s="2">
        <v>47</v>
      </c>
      <c r="B49" s="2" t="s">
        <v>94</v>
      </c>
      <c r="C49" s="2" t="s">
        <v>95</v>
      </c>
      <c r="D49" s="2" t="s">
        <v>102</v>
      </c>
      <c r="L49" t="s">
        <v>191</v>
      </c>
      <c r="M49" t="s">
        <v>102</v>
      </c>
    </row>
    <row r="50" spans="1:20" x14ac:dyDescent="0.55000000000000004">
      <c r="A50" s="2">
        <v>48</v>
      </c>
      <c r="B50" s="2" t="s">
        <v>96</v>
      </c>
      <c r="C50" s="2" t="s">
        <v>97</v>
      </c>
      <c r="D50" s="2" t="s">
        <v>102</v>
      </c>
      <c r="L50" t="s">
        <v>192</v>
      </c>
      <c r="M50" t="s">
        <v>102</v>
      </c>
    </row>
    <row r="51" spans="1:20" x14ac:dyDescent="0.55000000000000004">
      <c r="A51" s="2">
        <v>49</v>
      </c>
      <c r="B51" s="2" t="s">
        <v>98</v>
      </c>
      <c r="C51" s="2" t="s">
        <v>99</v>
      </c>
      <c r="D51" s="2" t="s">
        <v>102</v>
      </c>
      <c r="L51" t="s">
        <v>193</v>
      </c>
      <c r="M51" t="s">
        <v>102</v>
      </c>
    </row>
    <row r="52" spans="1:20" x14ac:dyDescent="0.55000000000000004">
      <c r="A52" s="2">
        <v>50</v>
      </c>
      <c r="B52" s="2" t="s">
        <v>100</v>
      </c>
      <c r="C52" s="2" t="s">
        <v>101</v>
      </c>
      <c r="D52" s="2" t="s">
        <v>111</v>
      </c>
      <c r="E52" s="2" t="s">
        <v>102</v>
      </c>
      <c r="G52" s="2" t="b">
        <v>1</v>
      </c>
      <c r="H52" s="2" t="b">
        <v>1</v>
      </c>
      <c r="J52" s="2" t="b">
        <v>1</v>
      </c>
      <c r="K52" s="2" t="b">
        <v>1</v>
      </c>
      <c r="L52" t="s">
        <v>194</v>
      </c>
      <c r="M52" t="s">
        <v>102</v>
      </c>
      <c r="N52" s="2" t="b">
        <v>0</v>
      </c>
      <c r="O52" s="2" t="b">
        <v>0</v>
      </c>
      <c r="P52" s="2" t="b">
        <v>0</v>
      </c>
      <c r="R52" s="2" t="b">
        <v>0</v>
      </c>
      <c r="S52" s="2" t="b">
        <v>0</v>
      </c>
      <c r="T52" s="2" t="b">
        <v>1</v>
      </c>
    </row>
    <row r="53" spans="1:20" x14ac:dyDescent="0.55000000000000004">
      <c r="E53">
        <f>COUNTIF(E2:E52, "TRUE")</f>
        <v>4</v>
      </c>
      <c r="F53">
        <f t="shared" ref="F53:K53" si="0">COUNTIF(F2:F52, "TRUE")</f>
        <v>1</v>
      </c>
      <c r="G53">
        <f t="shared" si="0"/>
        <v>4</v>
      </c>
      <c r="H53">
        <f t="shared" si="0"/>
        <v>4</v>
      </c>
      <c r="I53">
        <f t="shared" si="0"/>
        <v>1</v>
      </c>
      <c r="J53">
        <f t="shared" si="0"/>
        <v>3</v>
      </c>
      <c r="K53">
        <f t="shared" si="0"/>
        <v>1</v>
      </c>
      <c r="N53" s="2">
        <f>COUNTIF(N2:N52, "TRUE")</f>
        <v>0</v>
      </c>
      <c r="O53" s="2">
        <f t="shared" ref="O53:T53" si="1">COUNTIF(O2:O52, "TRUE")</f>
        <v>0</v>
      </c>
      <c r="P53" s="2">
        <f t="shared" si="1"/>
        <v>0</v>
      </c>
      <c r="Q53" s="2">
        <f t="shared" si="1"/>
        <v>0</v>
      </c>
      <c r="R53" s="2">
        <f t="shared" si="1"/>
        <v>5</v>
      </c>
      <c r="S53" s="2">
        <f t="shared" si="1"/>
        <v>3</v>
      </c>
      <c r="T53" s="2">
        <f t="shared" si="1"/>
        <v>1</v>
      </c>
    </row>
    <row r="54" spans="1:20" x14ac:dyDescent="0.55000000000000004">
      <c r="G54" s="7">
        <f>SUM(E53:G53)</f>
        <v>9</v>
      </c>
      <c r="I54" s="7">
        <f>H53+I53</f>
        <v>5</v>
      </c>
    </row>
  </sheetData>
  <autoFilter ref="A1:T54" xr:uid="{00000000-0001-0000-0000-000000000000}"/>
  <pageMargins left="0.75" right="0.75" top="1" bottom="1" header="0.5" footer="0.5"/>
  <pageSetup orientation="portrait" horizontalDpi="360" verticalDpi="360" r:id="rId1"/>
  <headerFooter>
    <oddFooter>&amp;L_x000D_&amp;1#&amp;"Rockwell"&amp;9&amp;K0078D7 Information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A9F7-CF6C-4045-AF5E-C91113BAA3AF}">
  <dimension ref="A1:E14"/>
  <sheetViews>
    <sheetView workbookViewId="0">
      <selection activeCell="D14" sqref="D14:E14"/>
    </sheetView>
  </sheetViews>
  <sheetFormatPr defaultRowHeight="14.4" x14ac:dyDescent="0.55000000000000004"/>
  <cols>
    <col min="1" max="1" width="29.41796875" style="1" customWidth="1"/>
    <col min="2" max="2" width="38.15625" style="1" bestFit="1" customWidth="1"/>
    <col min="3" max="3" width="45.05078125" style="1" customWidth="1"/>
    <col min="4" max="4" width="39.68359375" style="1" bestFit="1" customWidth="1"/>
    <col min="5" max="16384" width="8.83984375" style="1"/>
  </cols>
  <sheetData>
    <row r="1" spans="1:5" x14ac:dyDescent="0.55000000000000004">
      <c r="A1" s="1" t="s">
        <v>128</v>
      </c>
      <c r="B1" s="1" t="s">
        <v>129</v>
      </c>
      <c r="C1" s="1" t="s">
        <v>113</v>
      </c>
      <c r="D1" s="1" t="s">
        <v>139</v>
      </c>
    </row>
    <row r="2" spans="1:5" x14ac:dyDescent="0.55000000000000004">
      <c r="A2" s="1" t="s">
        <v>133</v>
      </c>
      <c r="B2" s="1" t="s">
        <v>132</v>
      </c>
      <c r="C2" s="1" t="s">
        <v>138</v>
      </c>
      <c r="D2" s="1" t="s">
        <v>114</v>
      </c>
    </row>
    <row r="3" spans="1:5" ht="28.8" x14ac:dyDescent="0.55000000000000004">
      <c r="A3" s="1" t="s">
        <v>133</v>
      </c>
      <c r="B3" s="1" t="s">
        <v>134</v>
      </c>
      <c r="C3" s="1" t="s">
        <v>124</v>
      </c>
      <c r="D3" s="1" t="s">
        <v>125</v>
      </c>
    </row>
    <row r="4" spans="1:5" ht="28.8" x14ac:dyDescent="0.55000000000000004">
      <c r="A4" s="1" t="s">
        <v>133</v>
      </c>
      <c r="B4" s="1" t="s">
        <v>135</v>
      </c>
      <c r="C4" s="1" t="s">
        <v>115</v>
      </c>
      <c r="D4" s="1" t="s">
        <v>116</v>
      </c>
    </row>
    <row r="5" spans="1:5" ht="43.2" x14ac:dyDescent="0.55000000000000004">
      <c r="A5" s="1" t="s">
        <v>130</v>
      </c>
      <c r="B5" s="1" t="s">
        <v>131</v>
      </c>
      <c r="C5" s="1" t="s">
        <v>117</v>
      </c>
      <c r="D5" s="1" t="s">
        <v>118</v>
      </c>
    </row>
    <row r="6" spans="1:5" ht="28.8" x14ac:dyDescent="0.55000000000000004">
      <c r="A6" s="1" t="s">
        <v>130</v>
      </c>
      <c r="B6" s="1" t="s">
        <v>127</v>
      </c>
      <c r="C6" s="1" t="s">
        <v>121</v>
      </c>
      <c r="D6" s="1" t="s">
        <v>122</v>
      </c>
    </row>
    <row r="7" spans="1:5" ht="28.8" x14ac:dyDescent="0.55000000000000004">
      <c r="A7" s="1" t="s">
        <v>140</v>
      </c>
      <c r="B7" s="1" t="s">
        <v>126</v>
      </c>
      <c r="C7" s="1" t="s">
        <v>119</v>
      </c>
      <c r="D7" s="1" t="s">
        <v>120</v>
      </c>
    </row>
    <row r="8" spans="1:5" ht="28.8" x14ac:dyDescent="0.55000000000000004">
      <c r="A8" s="1" t="s">
        <v>141</v>
      </c>
      <c r="B8" s="1" t="s">
        <v>142</v>
      </c>
      <c r="C8" s="1" t="s">
        <v>123</v>
      </c>
      <c r="D8" s="1" t="s">
        <v>143</v>
      </c>
    </row>
    <row r="13" spans="1:5" x14ac:dyDescent="0.55000000000000004">
      <c r="B13" s="2"/>
      <c r="C13" s="2"/>
      <c r="D13" s="2"/>
      <c r="E13" s="2"/>
    </row>
    <row r="14" spans="1:5" x14ac:dyDescent="0.55000000000000004">
      <c r="B14" s="5"/>
      <c r="C14" s="5"/>
      <c r="D14" s="5"/>
      <c r="E1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open_coding</vt:lpstr>
      <vt:lpstr>axial-tax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Plutchok, Darin</cp:lastModifiedBy>
  <dcterms:created xsi:type="dcterms:W3CDTF">2025-10-15T03:58:49Z</dcterms:created>
  <dcterms:modified xsi:type="dcterms:W3CDTF">2025-10-20T15:09:32Z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bab825-a111-45e4-86a1-18cee0005896_Enabled">
    <vt:lpwstr>true</vt:lpwstr>
  </property>
  <property fmtid="{D5CDD505-2E9C-101B-9397-08002B2CF9AE}" pid="3" name="MSIP_Label_2bbab825-a111-45e4-86a1-18cee0005896_SetDate">
    <vt:lpwstr>2025-10-15T13:26:58Z</vt:lpwstr>
  </property>
  <property fmtid="{D5CDD505-2E9C-101B-9397-08002B2CF9AE}" pid="4" name="MSIP_Label_2bbab825-a111-45e4-86a1-18cee0005896_Method">
    <vt:lpwstr>Standard</vt:lpwstr>
  </property>
  <property fmtid="{D5CDD505-2E9C-101B-9397-08002B2CF9AE}" pid="5" name="MSIP_Label_2bbab825-a111-45e4-86a1-18cee0005896_Name">
    <vt:lpwstr>2bbab825-a111-45e4-86a1-18cee0005896</vt:lpwstr>
  </property>
  <property fmtid="{D5CDD505-2E9C-101B-9397-08002B2CF9AE}" pid="6" name="MSIP_Label_2bbab825-a111-45e4-86a1-18cee0005896_SiteId">
    <vt:lpwstr>2567d566-604c-408a-8a60-55d0dc9d9d6b</vt:lpwstr>
  </property>
  <property fmtid="{D5CDD505-2E9C-101B-9397-08002B2CF9AE}" pid="7" name="MSIP_Label_2bbab825-a111-45e4-86a1-18cee0005896_ActionId">
    <vt:lpwstr>152212b7-f8f1-4f4d-bcae-5d8478429893</vt:lpwstr>
  </property>
  <property fmtid="{D5CDD505-2E9C-101B-9397-08002B2CF9AE}" pid="8" name="MSIP_Label_2bbab825-a111-45e4-86a1-18cee0005896_ContentBits">
    <vt:lpwstr>2</vt:lpwstr>
  </property>
  <property fmtid="{D5CDD505-2E9C-101B-9397-08002B2CF9AE}" pid="9" name="MSIP_Label_2bbab825-a111-45e4-86a1-18cee0005896_Tag">
    <vt:lpwstr>10, 3, 0, 1</vt:lpwstr>
  </property>
</Properties>
</file>